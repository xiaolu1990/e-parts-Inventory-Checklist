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Zhangshun.Lu\Desktop\e-parts-Inventory-Checklist\"/>
    </mc:Choice>
  </mc:AlternateContent>
  <xr:revisionPtr revIDLastSave="0" documentId="13_ncr:1_{93D9E46B-F70E-4AAB-8993-D13AF337B7E1}" xr6:coauthVersionLast="47" xr6:coauthVersionMax="47" xr10:uidLastSave="{00000000-0000-0000-0000-000000000000}"/>
  <bookViews>
    <workbookView xWindow="-120" yWindow="-120" windowWidth="29040" windowHeight="17520" tabRatio="350" xr2:uid="{00000000-000D-0000-FFFF-FFFF00000000}"/>
  </bookViews>
  <sheets>
    <sheet name="Slot1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1" i="2" l="1"/>
  <c r="I61" i="2"/>
  <c r="H61" i="2"/>
  <c r="G61" i="2"/>
  <c r="F61" i="2"/>
  <c r="E61" i="2"/>
  <c r="D61" i="2"/>
  <c r="C61" i="2"/>
  <c r="B61" i="2"/>
  <c r="J60" i="2"/>
  <c r="I60" i="2"/>
  <c r="H60" i="2"/>
  <c r="G60" i="2"/>
  <c r="F60" i="2"/>
  <c r="E60" i="2"/>
  <c r="D60" i="2"/>
  <c r="C60" i="2"/>
  <c r="B60" i="2"/>
  <c r="J59" i="2"/>
  <c r="I59" i="2"/>
  <c r="H59" i="2"/>
  <c r="G59" i="2"/>
  <c r="F59" i="2"/>
  <c r="E59" i="2"/>
  <c r="D59" i="2"/>
  <c r="C59" i="2"/>
  <c r="B59" i="2"/>
  <c r="J58" i="2"/>
  <c r="I58" i="2"/>
  <c r="H58" i="2"/>
  <c r="G58" i="2"/>
  <c r="F58" i="2"/>
  <c r="E58" i="2"/>
  <c r="D58" i="2"/>
  <c r="C58" i="2"/>
  <c r="B58" i="2"/>
  <c r="J57" i="2"/>
  <c r="I57" i="2"/>
  <c r="H57" i="2"/>
  <c r="G57" i="2"/>
  <c r="F57" i="2"/>
  <c r="E57" i="2"/>
  <c r="D57" i="2"/>
  <c r="C57" i="2"/>
  <c r="B57" i="2"/>
  <c r="J56" i="2"/>
  <c r="I56" i="2"/>
  <c r="H56" i="2"/>
  <c r="G56" i="2"/>
  <c r="F56" i="2"/>
  <c r="E56" i="2"/>
  <c r="D56" i="2"/>
  <c r="C56" i="2"/>
  <c r="B56" i="2"/>
  <c r="J55" i="2"/>
  <c r="I55" i="2"/>
  <c r="H55" i="2"/>
  <c r="G55" i="2"/>
  <c r="F55" i="2"/>
  <c r="E55" i="2"/>
  <c r="D55" i="2"/>
  <c r="C55" i="2"/>
  <c r="B55" i="2"/>
  <c r="J54" i="2"/>
  <c r="I54" i="2"/>
  <c r="H54" i="2"/>
  <c r="G54" i="2"/>
  <c r="F54" i="2"/>
  <c r="E54" i="2"/>
  <c r="D54" i="2"/>
  <c r="C54" i="2"/>
  <c r="B54" i="2"/>
  <c r="J53" i="2"/>
  <c r="I53" i="2"/>
  <c r="H53" i="2"/>
  <c r="G53" i="2"/>
  <c r="F53" i="2"/>
  <c r="E53" i="2"/>
  <c r="D53" i="2"/>
  <c r="C53" i="2"/>
  <c r="B53" i="2"/>
  <c r="J52" i="2"/>
  <c r="I52" i="2"/>
  <c r="H52" i="2"/>
  <c r="G52" i="2"/>
  <c r="F52" i="2"/>
  <c r="E52" i="2"/>
  <c r="D52" i="2"/>
  <c r="C52" i="2"/>
  <c r="B52" i="2"/>
  <c r="J51" i="2"/>
  <c r="I51" i="2"/>
  <c r="H51" i="2"/>
  <c r="G51" i="2"/>
  <c r="F51" i="2"/>
  <c r="E51" i="2"/>
  <c r="D51" i="2"/>
  <c r="C51" i="2"/>
  <c r="B51" i="2"/>
  <c r="J50" i="2"/>
  <c r="I50" i="2"/>
  <c r="H50" i="2"/>
  <c r="G50" i="2"/>
  <c r="F50" i="2"/>
  <c r="E50" i="2"/>
  <c r="D50" i="2"/>
  <c r="C50" i="2"/>
  <c r="B50" i="2"/>
  <c r="J49" i="2"/>
  <c r="I49" i="2"/>
  <c r="H49" i="2"/>
  <c r="G49" i="2"/>
  <c r="F49" i="2"/>
  <c r="E49" i="2"/>
  <c r="D49" i="2"/>
  <c r="C49" i="2"/>
  <c r="B49" i="2"/>
  <c r="J48" i="2"/>
  <c r="I48" i="2"/>
  <c r="H48" i="2"/>
  <c r="G48" i="2"/>
  <c r="F48" i="2"/>
  <c r="E48" i="2"/>
  <c r="D48" i="2"/>
  <c r="C48" i="2"/>
  <c r="B48" i="2"/>
  <c r="J47" i="2"/>
  <c r="I47" i="2"/>
  <c r="H47" i="2"/>
  <c r="G47" i="2"/>
  <c r="F47" i="2"/>
  <c r="E47" i="2"/>
  <c r="D47" i="2"/>
  <c r="C47" i="2"/>
  <c r="B47" i="2"/>
  <c r="J46" i="2"/>
  <c r="I46" i="2"/>
  <c r="H46" i="2"/>
  <c r="G46" i="2"/>
  <c r="F46" i="2"/>
  <c r="E46" i="2"/>
  <c r="D46" i="2"/>
  <c r="C46" i="2"/>
  <c r="B46" i="2"/>
  <c r="J45" i="2"/>
  <c r="I45" i="2"/>
  <c r="H45" i="2"/>
  <c r="G45" i="2"/>
  <c r="F45" i="2"/>
  <c r="E45" i="2"/>
  <c r="D45" i="2"/>
  <c r="C45" i="2"/>
  <c r="B45" i="2"/>
  <c r="J44" i="2"/>
  <c r="I44" i="2"/>
  <c r="H44" i="2"/>
  <c r="G44" i="2"/>
  <c r="F44" i="2"/>
  <c r="E44" i="2"/>
  <c r="D44" i="2"/>
  <c r="C44" i="2"/>
  <c r="B44" i="2"/>
  <c r="J43" i="2"/>
  <c r="I43" i="2"/>
  <c r="H43" i="2"/>
  <c r="G43" i="2"/>
  <c r="F43" i="2"/>
  <c r="E43" i="2"/>
  <c r="D43" i="2"/>
  <c r="C43" i="2"/>
  <c r="B43" i="2"/>
  <c r="J42" i="2"/>
  <c r="I42" i="2"/>
  <c r="H42" i="2"/>
  <c r="G42" i="2"/>
  <c r="F42" i="2"/>
  <c r="E42" i="2"/>
  <c r="D42" i="2"/>
  <c r="C42" i="2"/>
  <c r="B42" i="2"/>
  <c r="J41" i="2"/>
  <c r="I41" i="2"/>
  <c r="H41" i="2"/>
  <c r="G41" i="2"/>
  <c r="F41" i="2"/>
  <c r="E41" i="2"/>
  <c r="D41" i="2"/>
  <c r="C41" i="2"/>
  <c r="B41" i="2"/>
  <c r="J40" i="2"/>
  <c r="I40" i="2"/>
  <c r="H40" i="2"/>
  <c r="G40" i="2"/>
  <c r="F40" i="2"/>
  <c r="E40" i="2"/>
  <c r="D40" i="2"/>
  <c r="C40" i="2"/>
  <c r="B40" i="2"/>
  <c r="J39" i="2"/>
  <c r="I39" i="2"/>
  <c r="H39" i="2"/>
  <c r="G39" i="2"/>
  <c r="F39" i="2"/>
  <c r="E39" i="2"/>
  <c r="D39" i="2"/>
  <c r="C39" i="2"/>
  <c r="B39" i="2"/>
  <c r="J38" i="2"/>
  <c r="I38" i="2"/>
  <c r="H38" i="2"/>
  <c r="G38" i="2"/>
  <c r="F38" i="2"/>
  <c r="E38" i="2"/>
  <c r="D38" i="2"/>
  <c r="C38" i="2"/>
  <c r="B38" i="2"/>
  <c r="J37" i="2"/>
  <c r="I37" i="2"/>
  <c r="H37" i="2"/>
  <c r="G37" i="2"/>
  <c r="F37" i="2"/>
  <c r="E37" i="2"/>
  <c r="D37" i="2"/>
  <c r="C37" i="2"/>
  <c r="B37" i="2"/>
  <c r="J36" i="2"/>
  <c r="I36" i="2"/>
  <c r="H36" i="2"/>
  <c r="G36" i="2"/>
  <c r="F36" i="2"/>
  <c r="E36" i="2"/>
  <c r="D36" i="2"/>
  <c r="C36" i="2"/>
  <c r="B36" i="2"/>
  <c r="J35" i="2"/>
  <c r="I35" i="2"/>
  <c r="H35" i="2"/>
  <c r="G35" i="2"/>
  <c r="F35" i="2"/>
  <c r="E35" i="2"/>
  <c r="D35" i="2"/>
  <c r="C35" i="2"/>
  <c r="B35" i="2"/>
  <c r="J34" i="2"/>
  <c r="I34" i="2"/>
  <c r="H34" i="2"/>
  <c r="G34" i="2"/>
  <c r="F34" i="2"/>
  <c r="E34" i="2"/>
  <c r="D34" i="2"/>
  <c r="C34" i="2"/>
  <c r="B34" i="2"/>
  <c r="J33" i="2"/>
  <c r="I33" i="2"/>
  <c r="H33" i="2"/>
  <c r="G33" i="2"/>
  <c r="F33" i="2"/>
  <c r="E33" i="2"/>
  <c r="D33" i="2"/>
  <c r="C33" i="2"/>
  <c r="B33" i="2"/>
  <c r="J32" i="2"/>
  <c r="I32" i="2"/>
  <c r="H32" i="2"/>
  <c r="G32" i="2"/>
  <c r="F32" i="2"/>
  <c r="E32" i="2"/>
  <c r="D32" i="2"/>
  <c r="C32" i="2"/>
  <c r="B32" i="2"/>
  <c r="J31" i="2"/>
  <c r="I31" i="2"/>
  <c r="H31" i="2"/>
  <c r="G31" i="2"/>
  <c r="F31" i="2"/>
  <c r="E31" i="2"/>
  <c r="D31" i="2"/>
  <c r="C31" i="2"/>
  <c r="B31" i="2"/>
  <c r="J30" i="2"/>
  <c r="I30" i="2"/>
  <c r="H30" i="2"/>
  <c r="G30" i="2"/>
  <c r="F30" i="2"/>
  <c r="E30" i="2"/>
  <c r="D30" i="2"/>
  <c r="C30" i="2"/>
  <c r="B30" i="2"/>
  <c r="J29" i="2"/>
  <c r="I29" i="2"/>
  <c r="H29" i="2"/>
  <c r="G29" i="2"/>
  <c r="F29" i="2"/>
  <c r="E29" i="2"/>
  <c r="D29" i="2"/>
  <c r="C29" i="2"/>
  <c r="B29" i="2"/>
  <c r="J28" i="2"/>
  <c r="I28" i="2"/>
  <c r="H28" i="2"/>
  <c r="G28" i="2"/>
  <c r="F28" i="2"/>
  <c r="E28" i="2"/>
  <c r="D28" i="2"/>
  <c r="C28" i="2"/>
  <c r="B28" i="2"/>
  <c r="J27" i="2"/>
  <c r="I27" i="2"/>
  <c r="H27" i="2"/>
  <c r="G27" i="2"/>
  <c r="F27" i="2"/>
  <c r="E27" i="2"/>
  <c r="D27" i="2"/>
  <c r="C27" i="2"/>
  <c r="B27" i="2"/>
  <c r="J26" i="2"/>
  <c r="I26" i="2"/>
  <c r="H26" i="2"/>
  <c r="G26" i="2"/>
  <c r="F26" i="2"/>
  <c r="E26" i="2"/>
  <c r="D26" i="2"/>
  <c r="C26" i="2"/>
  <c r="B26" i="2"/>
  <c r="B17" i="2"/>
  <c r="C17" i="2"/>
  <c r="D17" i="2"/>
  <c r="E17" i="2"/>
  <c r="F17" i="2"/>
  <c r="G17" i="2"/>
  <c r="H17" i="2"/>
  <c r="I17" i="2"/>
  <c r="J17" i="2"/>
  <c r="B18" i="2"/>
  <c r="C18" i="2"/>
  <c r="D18" i="2"/>
  <c r="E18" i="2"/>
  <c r="F18" i="2"/>
  <c r="G18" i="2"/>
  <c r="H18" i="2"/>
  <c r="I18" i="2"/>
  <c r="J18" i="2"/>
  <c r="B19" i="2"/>
  <c r="C19" i="2"/>
  <c r="D19" i="2"/>
  <c r="E19" i="2"/>
  <c r="F19" i="2"/>
  <c r="G19" i="2"/>
  <c r="H19" i="2"/>
  <c r="I19" i="2"/>
  <c r="J19" i="2"/>
  <c r="B20" i="2"/>
  <c r="C20" i="2"/>
  <c r="D20" i="2"/>
  <c r="E20" i="2"/>
  <c r="F20" i="2"/>
  <c r="G20" i="2"/>
  <c r="H20" i="2"/>
  <c r="I20" i="2"/>
  <c r="J20" i="2"/>
  <c r="B21" i="2"/>
  <c r="C21" i="2"/>
  <c r="D21" i="2"/>
  <c r="E21" i="2"/>
  <c r="F21" i="2"/>
  <c r="G21" i="2"/>
  <c r="H21" i="2"/>
  <c r="I21" i="2"/>
  <c r="J21" i="2"/>
  <c r="B22" i="2"/>
  <c r="C22" i="2"/>
  <c r="D22" i="2"/>
  <c r="E22" i="2"/>
  <c r="F22" i="2"/>
  <c r="G22" i="2"/>
  <c r="H22" i="2"/>
  <c r="I22" i="2"/>
  <c r="J22" i="2"/>
  <c r="B23" i="2"/>
  <c r="C23" i="2"/>
  <c r="D23" i="2"/>
  <c r="E23" i="2"/>
  <c r="F23" i="2"/>
  <c r="G23" i="2"/>
  <c r="H23" i="2"/>
  <c r="I23" i="2"/>
  <c r="J23" i="2"/>
  <c r="B24" i="2"/>
  <c r="C24" i="2"/>
  <c r="D24" i="2"/>
  <c r="E24" i="2"/>
  <c r="F24" i="2"/>
  <c r="G24" i="2"/>
  <c r="H24" i="2"/>
  <c r="I24" i="2"/>
  <c r="J24" i="2"/>
  <c r="B25" i="2"/>
  <c r="C25" i="2"/>
  <c r="D25" i="2"/>
  <c r="E25" i="2"/>
  <c r="F25" i="2"/>
  <c r="G25" i="2"/>
  <c r="H25" i="2"/>
  <c r="I25" i="2"/>
  <c r="J25" i="2"/>
  <c r="B16" i="2"/>
  <c r="D16" i="2"/>
  <c r="C16" i="2"/>
  <c r="E16" i="2"/>
  <c r="F16" i="2"/>
  <c r="J16" i="2"/>
  <c r="G16" i="2"/>
  <c r="H16" i="2"/>
  <c r="I16" i="2"/>
  <c r="J13" i="2"/>
  <c r="J14" i="2"/>
  <c r="J15" i="2"/>
  <c r="I14" i="2"/>
  <c r="I13" i="2"/>
  <c r="I15" i="2"/>
  <c r="H13" i="2"/>
  <c r="H14" i="2"/>
  <c r="H15" i="2"/>
  <c r="G13" i="2"/>
  <c r="G15" i="2"/>
  <c r="G14" i="2"/>
  <c r="F13" i="2"/>
  <c r="F15" i="2"/>
  <c r="F14" i="2"/>
  <c r="E13" i="2"/>
  <c r="E14" i="2"/>
  <c r="E15" i="2"/>
  <c r="D13" i="2"/>
  <c r="D15" i="2"/>
  <c r="D14" i="2"/>
  <c r="C14" i="2"/>
  <c r="C15" i="2"/>
  <c r="C13" i="2"/>
  <c r="B13" i="2"/>
  <c r="B14" i="2"/>
  <c r="B15" i="2"/>
  <c r="D12" i="2"/>
  <c r="C12" i="2"/>
  <c r="B12" i="2"/>
  <c r="J12" i="2"/>
  <c r="I12" i="2"/>
  <c r="H12" i="2"/>
  <c r="G12" i="2"/>
  <c r="F12" i="2"/>
  <c r="E12" i="2"/>
  <c r="B3" i="2" a="1"/>
  <c r="B4" i="2"/>
  <c r="B3" i="2" l="1"/>
</calcChain>
</file>

<file path=xl/sharedStrings.xml><?xml version="1.0" encoding="utf-8"?>
<sst xmlns="http://schemas.openxmlformats.org/spreadsheetml/2006/main" count="130" uniqueCount="27">
  <si>
    <t xml:space="preserve">Client Id:  </t>
  </si>
  <si>
    <t xml:space="preserve">Client Secret: </t>
  </si>
  <si>
    <t>MPN</t>
  </si>
  <si>
    <t>MOQ</t>
  </si>
  <si>
    <t>Ready?</t>
  </si>
  <si>
    <t>Version:</t>
  </si>
  <si>
    <t>SKU</t>
  </si>
  <si>
    <t>Stock</t>
  </si>
  <si>
    <t>Distributor</t>
  </si>
  <si>
    <t>Digi-Key</t>
  </si>
  <si>
    <t>&lt;- Put your Client Id in B1</t>
  </si>
  <si>
    <t>&lt;- Put your Client Secret in B2</t>
  </si>
  <si>
    <t>NRF52840-CKAA-R</t>
  </si>
  <si>
    <t>Currency</t>
  </si>
  <si>
    <t>Mouser</t>
  </si>
  <si>
    <t>Description</t>
  </si>
  <si>
    <t>URL</t>
  </si>
  <si>
    <t>In Kicad</t>
  </si>
  <si>
    <t>Yes</t>
  </si>
  <si>
    <t>No</t>
  </si>
  <si>
    <t>In Office</t>
  </si>
  <si>
    <t>Price</t>
  </si>
  <si>
    <t>UJ40-C-H-G-L1-SMT-TR</t>
  </si>
  <si>
    <t>USD</t>
  </si>
  <si>
    <t>MAX232D</t>
  </si>
  <si>
    <t>FT2232D-REEL</t>
  </si>
  <si>
    <t>IFX007TAUMA1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</si>
</sst>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 wrapText="1"/>
    </xf>
    <xf numFmtId="49" fontId="0" fillId="0" borderId="4" xfId="0" applyNumberFormat="1" applyBorder="1" applyAlignment="1">
      <alignment horizontal="left" vertical="center" wrapText="1"/>
    </xf>
    <xf numFmtId="49" fontId="0" fillId="0" borderId="6" xfId="0" applyNumberFormat="1" applyBorder="1" applyAlignment="1">
      <alignment horizontal="left" vertical="center" wrapText="1"/>
    </xf>
    <xf numFmtId="0" fontId="2" fillId="0" borderId="8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 wrapText="1"/>
    </xf>
    <xf numFmtId="0" fontId="2" fillId="0" borderId="2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4" fillId="0" borderId="3" xfId="0" applyFont="1" applyBorder="1" applyAlignment="1">
      <alignment horizontal="left" vertical="center"/>
    </xf>
    <xf numFmtId="0" fontId="0" fillId="0" borderId="18" xfId="0" applyBorder="1" applyAlignment="1">
      <alignment vertical="center" wrapText="1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3" fillId="0" borderId="19" xfId="1" applyBorder="1" applyAlignment="1">
      <alignment horizontal="left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28" xfId="0" applyBorder="1" applyAlignment="1">
      <alignment horizontal="left" vertical="center" wrapText="1"/>
    </xf>
    <xf numFmtId="0" fontId="0" fillId="0" borderId="29" xfId="0" applyBorder="1" applyAlignment="1">
      <alignment horizontal="left" vertical="center" wrapText="1"/>
    </xf>
    <xf numFmtId="0" fontId="3" fillId="0" borderId="28" xfId="1" applyBorder="1" applyAlignment="1">
      <alignment horizontal="left" vertical="center"/>
    </xf>
    <xf numFmtId="0" fontId="0" fillId="0" borderId="3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27" xfId="0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5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3" fillId="0" borderId="35" xfId="1" applyBorder="1" applyAlignment="1">
      <alignment horizontal="left" vertical="center"/>
    </xf>
    <xf numFmtId="0" fontId="0" fillId="0" borderId="44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2" fillId="0" borderId="36" xfId="0" applyFont="1" applyBorder="1" applyAlignment="1">
      <alignment horizontal="center" vertical="center" wrapText="1"/>
    </xf>
    <xf numFmtId="0" fontId="2" fillId="0" borderId="37" xfId="0" applyFont="1" applyBorder="1" applyAlignment="1">
      <alignment horizontal="center" vertical="center" wrapText="1"/>
    </xf>
    <xf numFmtId="0" fontId="2" fillId="0" borderId="41" xfId="0" applyFont="1" applyBorder="1" applyAlignment="1">
      <alignment horizontal="center" vertical="center" wrapText="1"/>
    </xf>
    <xf numFmtId="0" fontId="2" fillId="0" borderId="42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2" fillId="0" borderId="15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2"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octopart.com/nrf52840-ckaa-r-nordic+semiconductor-91333964" TargetMode="External"/><Relationship Id="rId18" Type="http://schemas.openxmlformats.org/officeDocument/2006/relationships/hyperlink" Target="https://octopart.com/nrf52840-ckaa-r-nordic+semiconductor-91333964" TargetMode="External"/><Relationship Id="rId26" Type="http://schemas.openxmlformats.org/officeDocument/2006/relationships/hyperlink" Target="https://octopart.com/nrf52840-ckaa-r-nordic+semiconductor-91333964" TargetMode="External"/><Relationship Id="rId39" Type="http://schemas.openxmlformats.org/officeDocument/2006/relationships/hyperlink" Target="https://octopart.com/nrf52840-ckaa-r-nordic+semiconductor-91333964" TargetMode="External"/><Relationship Id="rId21" Type="http://schemas.openxmlformats.org/officeDocument/2006/relationships/hyperlink" Target="https://octopart.com/nrf52840-ckaa-r-nordic+semiconductor-91333964" TargetMode="External"/><Relationship Id="rId34" Type="http://schemas.openxmlformats.org/officeDocument/2006/relationships/hyperlink" Target="https://octopart.com/nrf52840-ckaa-r-nordic+semiconductor-91333964" TargetMode="External"/><Relationship Id="rId42" Type="http://schemas.openxmlformats.org/officeDocument/2006/relationships/hyperlink" Target="https://octopart.com/nrf52840-ckaa-r-nordic+semiconductor-91333964" TargetMode="External"/><Relationship Id="rId47" Type="http://schemas.openxmlformats.org/officeDocument/2006/relationships/hyperlink" Target="https://octopart.com/nrf52840-ckaa-r-nordic+semiconductor-91333964" TargetMode="External"/><Relationship Id="rId7" Type="http://schemas.openxmlformats.org/officeDocument/2006/relationships/hyperlink" Target="https://octopart.com/nrf52840-ckaa-r-nordic+semiconductor-91333964" TargetMode="External"/><Relationship Id="rId2" Type="http://schemas.openxmlformats.org/officeDocument/2006/relationships/hyperlink" Target="https://octopart.com/nrf52840-ckaa-r-nordic+semiconductor-91333964" TargetMode="External"/><Relationship Id="rId16" Type="http://schemas.openxmlformats.org/officeDocument/2006/relationships/hyperlink" Target="https://octopart.com/nrf52840-ckaa-r-nordic+semiconductor-91333964" TargetMode="External"/><Relationship Id="rId29" Type="http://schemas.openxmlformats.org/officeDocument/2006/relationships/hyperlink" Target="https://octopart.com/nrf52840-ckaa-r-nordic+semiconductor-91333964" TargetMode="External"/><Relationship Id="rId11" Type="http://schemas.openxmlformats.org/officeDocument/2006/relationships/hyperlink" Target="https://octopart.com/nrf52840-ckaa-r-nordic+semiconductor-91333964" TargetMode="External"/><Relationship Id="rId24" Type="http://schemas.openxmlformats.org/officeDocument/2006/relationships/hyperlink" Target="https://octopart.com/nrf52840-ckaa-r-nordic+semiconductor-91333964" TargetMode="External"/><Relationship Id="rId32" Type="http://schemas.openxmlformats.org/officeDocument/2006/relationships/hyperlink" Target="https://octopart.com/nrf52840-ckaa-r-nordic+semiconductor-91333964" TargetMode="External"/><Relationship Id="rId37" Type="http://schemas.openxmlformats.org/officeDocument/2006/relationships/hyperlink" Target="https://octopart.com/nrf52840-ckaa-r-nordic+semiconductor-91333964" TargetMode="External"/><Relationship Id="rId40" Type="http://schemas.openxmlformats.org/officeDocument/2006/relationships/hyperlink" Target="https://octopart.com/nrf52840-ckaa-r-nordic+semiconductor-91333964" TargetMode="External"/><Relationship Id="rId45" Type="http://schemas.openxmlformats.org/officeDocument/2006/relationships/hyperlink" Target="https://octopart.com/nrf52840-ckaa-r-nordic+semiconductor-91333964" TargetMode="External"/><Relationship Id="rId5" Type="http://schemas.openxmlformats.org/officeDocument/2006/relationships/hyperlink" Target="https://octopart.com/nrf52840-ckaa-r-nordic+semiconductor-91333964" TargetMode="External"/><Relationship Id="rId15" Type="http://schemas.openxmlformats.org/officeDocument/2006/relationships/hyperlink" Target="https://octopart.com/nrf52840-ckaa-r-nordic+semiconductor-91333964" TargetMode="External"/><Relationship Id="rId23" Type="http://schemas.openxmlformats.org/officeDocument/2006/relationships/hyperlink" Target="https://octopart.com/nrf52840-ckaa-r-nordic+semiconductor-91333964" TargetMode="External"/><Relationship Id="rId28" Type="http://schemas.openxmlformats.org/officeDocument/2006/relationships/hyperlink" Target="https://octopart.com/nrf52840-ckaa-r-nordic+semiconductor-91333964" TargetMode="External"/><Relationship Id="rId36" Type="http://schemas.openxmlformats.org/officeDocument/2006/relationships/hyperlink" Target="https://octopart.com/nrf52840-ckaa-r-nordic+semiconductor-91333964" TargetMode="External"/><Relationship Id="rId49" Type="http://schemas.openxmlformats.org/officeDocument/2006/relationships/printerSettings" Target="../printerSettings/printerSettings1.bin"/><Relationship Id="rId10" Type="http://schemas.openxmlformats.org/officeDocument/2006/relationships/hyperlink" Target="https://octopart.com/nrf52840-ckaa-r-nordic+semiconductor-91333964" TargetMode="External"/><Relationship Id="rId19" Type="http://schemas.openxmlformats.org/officeDocument/2006/relationships/hyperlink" Target="https://octopart.com/nrf52840-ckaa-r-nordic+semiconductor-91333964" TargetMode="External"/><Relationship Id="rId31" Type="http://schemas.openxmlformats.org/officeDocument/2006/relationships/hyperlink" Target="https://octopart.com/nrf52840-ckaa-r-nordic+semiconductor-91333964" TargetMode="External"/><Relationship Id="rId44" Type="http://schemas.openxmlformats.org/officeDocument/2006/relationships/hyperlink" Target="https://octopart.com/nrf52840-ckaa-r-nordic+semiconductor-91333964" TargetMode="External"/><Relationship Id="rId4" Type="http://schemas.openxmlformats.org/officeDocument/2006/relationships/hyperlink" Target="https://octopart.com/nrf52840-ckaa-r-nordic+semiconductor-91333964" TargetMode="External"/><Relationship Id="rId9" Type="http://schemas.openxmlformats.org/officeDocument/2006/relationships/hyperlink" Target="https://octopart.com/nrf52840-ckaa-r-nordic+semiconductor-91333964" TargetMode="External"/><Relationship Id="rId14" Type="http://schemas.openxmlformats.org/officeDocument/2006/relationships/hyperlink" Target="https://octopart.com/nrf52840-ckaa-r-nordic+semiconductor-91333964" TargetMode="External"/><Relationship Id="rId22" Type="http://schemas.openxmlformats.org/officeDocument/2006/relationships/hyperlink" Target="https://octopart.com/nrf52840-ckaa-r-nordic+semiconductor-91333964" TargetMode="External"/><Relationship Id="rId27" Type="http://schemas.openxmlformats.org/officeDocument/2006/relationships/hyperlink" Target="https://octopart.com/nrf52840-ckaa-r-nordic+semiconductor-91333964" TargetMode="External"/><Relationship Id="rId30" Type="http://schemas.openxmlformats.org/officeDocument/2006/relationships/hyperlink" Target="https://octopart.com/nrf52840-ckaa-r-nordic+semiconductor-91333964" TargetMode="External"/><Relationship Id="rId35" Type="http://schemas.openxmlformats.org/officeDocument/2006/relationships/hyperlink" Target="https://octopart.com/nrf52840-ckaa-r-nordic+semiconductor-91333964" TargetMode="External"/><Relationship Id="rId43" Type="http://schemas.openxmlformats.org/officeDocument/2006/relationships/hyperlink" Target="https://octopart.com/nrf52840-ckaa-r-nordic+semiconductor-91333964" TargetMode="External"/><Relationship Id="rId48" Type="http://schemas.openxmlformats.org/officeDocument/2006/relationships/hyperlink" Target="https://octopart.com/nrf52840-ckaa-r-nordic+semiconductor-91333964" TargetMode="External"/><Relationship Id="rId8" Type="http://schemas.openxmlformats.org/officeDocument/2006/relationships/hyperlink" Target="https://octopart.com/nrf52840-ckaa-r-nordic+semiconductor-91333964" TargetMode="External"/><Relationship Id="rId3" Type="http://schemas.openxmlformats.org/officeDocument/2006/relationships/hyperlink" Target="https://octopart.com/nrf52840-ckaa-r-nordic+semiconductor-91333964" TargetMode="External"/><Relationship Id="rId12" Type="http://schemas.openxmlformats.org/officeDocument/2006/relationships/hyperlink" Target="https://octopart.com/nrf52840-ckaa-r-nordic+semiconductor-91333964" TargetMode="External"/><Relationship Id="rId17" Type="http://schemas.openxmlformats.org/officeDocument/2006/relationships/hyperlink" Target="https://octopart.com/nrf52840-ckaa-r-nordic+semiconductor-91333964" TargetMode="External"/><Relationship Id="rId25" Type="http://schemas.openxmlformats.org/officeDocument/2006/relationships/hyperlink" Target="https://octopart.com/nrf52840-ckaa-r-nordic+semiconductor-91333964" TargetMode="External"/><Relationship Id="rId33" Type="http://schemas.openxmlformats.org/officeDocument/2006/relationships/hyperlink" Target="https://octopart.com/nrf52840-ckaa-r-nordic+semiconductor-91333964" TargetMode="External"/><Relationship Id="rId38" Type="http://schemas.openxmlformats.org/officeDocument/2006/relationships/hyperlink" Target="https://octopart.com/nrf52840-ckaa-r-nordic+semiconductor-91333964" TargetMode="External"/><Relationship Id="rId46" Type="http://schemas.openxmlformats.org/officeDocument/2006/relationships/hyperlink" Target="https://octopart.com/nrf52840-ckaa-r-nordic+semiconductor-91333964" TargetMode="External"/><Relationship Id="rId20" Type="http://schemas.openxmlformats.org/officeDocument/2006/relationships/hyperlink" Target="https://octopart.com/nrf52840-ckaa-r-nordic+semiconductor-91333964" TargetMode="External"/><Relationship Id="rId41" Type="http://schemas.openxmlformats.org/officeDocument/2006/relationships/hyperlink" Target="https://octopart.com/nrf52840-ckaa-r-nordic+semiconductor-91333964" TargetMode="External"/><Relationship Id="rId1" Type="http://schemas.openxmlformats.org/officeDocument/2006/relationships/hyperlink" Target="https://octopart.com/nrf52840-ckaa-r-nordic+semiconductor-91333964" TargetMode="External"/><Relationship Id="rId6" Type="http://schemas.openxmlformats.org/officeDocument/2006/relationships/hyperlink" Target="https://octopart.com/nrf52840-ckaa-r-nordic+semiconductor-913339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2C72F-9DC4-439C-9B54-D9284EB2FA47}">
  <dimension ref="A1:L61"/>
  <sheetViews>
    <sheetView tabSelected="1" workbookViewId="0">
      <selection activeCell="H3" sqref="H3"/>
    </sheetView>
  </sheetViews>
  <sheetFormatPr defaultRowHeight="30" customHeight="1" x14ac:dyDescent="0.25"/>
  <cols>
    <col min="1" max="1" width="19.28515625" style="30" bestFit="1" customWidth="1"/>
    <col min="2" max="2" width="20.7109375" style="3" customWidth="1"/>
    <col min="3" max="3" width="50.7109375" style="3" customWidth="1"/>
    <col min="4" max="4" width="15.7109375" style="30" customWidth="1"/>
    <col min="5" max="9" width="10.7109375" style="1" customWidth="1"/>
    <col min="10" max="10" width="10.7109375" style="2" customWidth="1"/>
    <col min="11" max="12" width="10.7109375" style="1" customWidth="1"/>
    <col min="13" max="16384" width="9.140625" style="30"/>
  </cols>
  <sheetData>
    <row r="1" spans="1:12" ht="20.100000000000001" customHeight="1" x14ac:dyDescent="0.25">
      <c r="A1" s="16" t="s">
        <v>0</v>
      </c>
      <c r="B1" s="18"/>
      <c r="C1" s="6" t="s">
        <v>10</v>
      </c>
    </row>
    <row r="2" spans="1:12" ht="20.100000000000001" customHeight="1" x14ac:dyDescent="0.25">
      <c r="A2" s="17" t="s">
        <v>1</v>
      </c>
      <c r="B2" s="4"/>
      <c r="C2" s="7" t="s">
        <v>11</v>
      </c>
    </row>
    <row r="3" spans="1:12" ht="20.100000000000001" customHeight="1" x14ac:dyDescent="0.25">
      <c r="A3" s="17" t="s">
        <v>5</v>
      </c>
      <c r="B3" s="5" t="str">
        <f t="array" aca="1" ref="B3" ca="1">_xll.NEXAR_SUPPLY_VERSION()</f>
        <v>0.5</v>
      </c>
      <c r="C3" s="7"/>
    </row>
    <row r="4" spans="1:12" ht="20.100000000000001" customHeight="1" thickBot="1" x14ac:dyDescent="0.3">
      <c r="A4" s="31" t="s">
        <v>4</v>
      </c>
      <c r="B4" s="8" t="str">
        <f ca="1">_xll.NEXAR_SUPPLY_LOGIN(B1, B2)</f>
        <v>Please provide your Nexar application Client Id and Secret</v>
      </c>
      <c r="C4" s="9"/>
    </row>
    <row r="5" spans="1:12" ht="20.100000000000001" customHeight="1" thickBot="1" x14ac:dyDescent="0.3"/>
    <row r="6" spans="1:12" ht="20.100000000000001" customHeight="1" x14ac:dyDescent="0.25">
      <c r="A6" s="16" t="s">
        <v>13</v>
      </c>
      <c r="B6" s="10" t="s">
        <v>23</v>
      </c>
      <c r="C6" s="30"/>
      <c r="D6" s="1"/>
      <c r="I6" s="2"/>
      <c r="J6" s="1"/>
      <c r="L6" s="30"/>
    </row>
    <row r="7" spans="1:12" ht="20.100000000000001" customHeight="1" x14ac:dyDescent="0.25">
      <c r="A7" s="59" t="s">
        <v>8</v>
      </c>
      <c r="B7" s="11" t="s">
        <v>14</v>
      </c>
      <c r="C7" s="30"/>
      <c r="D7" s="1"/>
      <c r="I7" s="2"/>
      <c r="J7" s="1"/>
      <c r="L7" s="30"/>
    </row>
    <row r="8" spans="1:12" ht="20.100000000000001" customHeight="1" thickBot="1" x14ac:dyDescent="0.3">
      <c r="A8" s="60"/>
      <c r="B8" s="9" t="s">
        <v>9</v>
      </c>
      <c r="C8" s="30"/>
      <c r="D8" s="1"/>
      <c r="I8" s="2"/>
      <c r="J8" s="1"/>
      <c r="L8" s="30"/>
    </row>
    <row r="9" spans="1:12" ht="20.100000000000001" customHeight="1" thickBot="1" x14ac:dyDescent="0.3"/>
    <row r="10" spans="1:12" ht="30" customHeight="1" x14ac:dyDescent="0.25">
      <c r="A10" s="64" t="s">
        <v>2</v>
      </c>
      <c r="B10" s="55" t="s">
        <v>6</v>
      </c>
      <c r="C10" s="55" t="s">
        <v>15</v>
      </c>
      <c r="D10" s="66" t="s">
        <v>16</v>
      </c>
      <c r="E10" s="61" t="s">
        <v>14</v>
      </c>
      <c r="F10" s="62"/>
      <c r="G10" s="63"/>
      <c r="H10" s="61" t="s">
        <v>9</v>
      </c>
      <c r="I10" s="62"/>
      <c r="J10" s="63"/>
      <c r="K10" s="55" t="s">
        <v>17</v>
      </c>
      <c r="L10" s="57" t="s">
        <v>20</v>
      </c>
    </row>
    <row r="11" spans="1:12" s="32" customFormat="1" ht="30" customHeight="1" thickBot="1" x14ac:dyDescent="0.3">
      <c r="A11" s="65"/>
      <c r="B11" s="56"/>
      <c r="C11" s="56"/>
      <c r="D11" s="67"/>
      <c r="E11" s="13" t="s">
        <v>21</v>
      </c>
      <c r="F11" s="12" t="s">
        <v>7</v>
      </c>
      <c r="G11" s="14" t="s">
        <v>3</v>
      </c>
      <c r="H11" s="13" t="s">
        <v>21</v>
      </c>
      <c r="I11" s="12" t="s">
        <v>7</v>
      </c>
      <c r="J11" s="15" t="s">
        <v>3</v>
      </c>
      <c r="K11" s="56"/>
      <c r="L11" s="58"/>
    </row>
    <row r="12" spans="1:12" ht="30" customHeight="1" x14ac:dyDescent="0.25">
      <c r="A12" s="19" t="s">
        <v>12</v>
      </c>
      <c r="B12" s="20" t="str">
        <f>IF(A12="", "", _xll.NEXAR_SUPPLY_DISTRIBUTOR_SKU(A12))</f>
        <v>NRF52840-CKAA-R</v>
      </c>
      <c r="C12" s="21" t="str">
        <f>IF(A12="", "", _xll.NEXAR_SUPPLY_SHORT_DESCRIPTION(A12,))</f>
        <v>Bluetooth v5.0 (BLE) SMART SOC IoT 2Mbps 3V 73-Pin AQFN EP T/R</v>
      </c>
      <c r="D12" s="22" t="str">
        <f>IF(A12="", "", _xll.NEXAR_SUPPLY_DETAIL_URL(A12,))</f>
        <v>https://octopart.com/nrf52840-ckaa-r-nordic+semiconductor-91333964</v>
      </c>
      <c r="E12" s="23">
        <f>IF(A12="","",_xll.NEXAR_SUPPLY_DISTRIBUTOR_PRICE(A12,,$B$7,1,$B$6,TRUE))</f>
        <v>6.69</v>
      </c>
      <c r="F12" s="24">
        <f>IF(A12="", "", _xll.NEXAR_SUPPLY_DISTRIBUTOR_STOCK(A12,,$B$7,TRUE))</f>
        <v>69995</v>
      </c>
      <c r="G12" s="25">
        <f>IF(A12="", "", _xll.NEXAR_SUPPLY_DISTRIBUTOR_MOQ(A12))</f>
        <v>1</v>
      </c>
      <c r="H12" s="26">
        <f>IF(A12="", "", _xll.NEXAR_SUPPLY_DISTRIBUTOR_PRICE(A12,,$B$8,1,$B$6,TRUE))</f>
        <v>7</v>
      </c>
      <c r="I12" s="24">
        <f>IF(A12="", "", _xll.NEXAR_SUPPLY_DISTRIBUTOR_STOCK(A12,,$B$8,TRUE))</f>
        <v>6564</v>
      </c>
      <c r="J12" s="27">
        <f>IF(A12="", "", _xll.NEXAR_SUPPLY_DISTRIBUTOR_MOQ(A12))</f>
        <v>1</v>
      </c>
      <c r="K12" s="28" t="s">
        <v>19</v>
      </c>
      <c r="L12" s="29" t="s">
        <v>18</v>
      </c>
    </row>
    <row r="13" spans="1:12" ht="30" customHeight="1" x14ac:dyDescent="0.25">
      <c r="A13" s="19" t="s">
        <v>22</v>
      </c>
      <c r="B13" s="33" t="str">
        <f>IF(A13="", "", _xll.NEXAR_SUPPLY_DISTRIBUTOR_SKU(A13))</f>
        <v>UJ40-C-H-G-L1-SMT-TR</v>
      </c>
      <c r="C13" s="34" t="str">
        <f>IF(A13="", "", _xll.NEXAR_SUPPLY_SHORT_DESCRIPTION(A13,))</f>
        <v>Type C, USB4, 40 Gbps, 48 Vac, 5 A, Horizontal, Gold Flash, Surface Mount, USB Receptacle</v>
      </c>
      <c r="D13" s="35" t="str">
        <f>IF(A13="", "", _xll.NEXAR_SUPPLY_DETAIL_URL(A13,))</f>
        <v>https://octopart.com/uj40-c-h-g-l1-smt-tr-cui+devices-129880460</v>
      </c>
      <c r="E13" s="36">
        <f>IF(A13="","",_xll.NEXAR_SUPPLY_DISTRIBUTOR_PRICE(A13,,$B$7,1,$B$6,TRUE))</f>
        <v>5.12</v>
      </c>
      <c r="F13" s="37">
        <f>IF(A13="", "", _xll.NEXAR_SUPPLY_DISTRIBUTOR_STOCK(A13,,$B$7,TRUE))</f>
        <v>2109</v>
      </c>
      <c r="G13" s="38">
        <f>IF(A13="", "", _xll.NEXAR_SUPPLY_DISTRIBUTOR_MOQ(A13))</f>
        <v>1</v>
      </c>
      <c r="H13" s="39">
        <f>IF(A13="", "", _xll.NEXAR_SUPPLY_DISTRIBUTOR_PRICE(A13,,$B$8,1,$B$6,TRUE))</f>
        <v>5.18</v>
      </c>
      <c r="I13" s="37">
        <f>IF(A13="", "", _xll.NEXAR_SUPPLY_DISTRIBUTOR_STOCK(A13,,$B$8,TRUE))</f>
        <v>2175</v>
      </c>
      <c r="J13" s="40">
        <f>IF(A13="", "", _xll.NEXAR_SUPPLY_DISTRIBUTOR_MOQ(A13))</f>
        <v>1</v>
      </c>
      <c r="K13" s="41" t="s">
        <v>19</v>
      </c>
      <c r="L13" s="42" t="s">
        <v>18</v>
      </c>
    </row>
    <row r="14" spans="1:12" ht="30" customHeight="1" x14ac:dyDescent="0.25">
      <c r="A14" s="19" t="s">
        <v>24</v>
      </c>
      <c r="B14" s="33" t="str">
        <f>IF(A14="", "", _xll.NEXAR_SUPPLY_DISTRIBUTOR_SKU(A14))</f>
        <v>MAX232D</v>
      </c>
      <c r="C14" s="34" t="str">
        <f>IF(A14="", "", _xll.NEXAR_SUPPLY_SHORT_DESCRIPTION(A14,))</f>
        <v>Line Transmitter/Receiver 2TR 2 Transceiver 2 Receiver 16-Pin SOIC Tube</v>
      </c>
      <c r="D14" s="35" t="str">
        <f>IF(A14="", "", _xll.NEXAR_SUPPLY_DETAIL_URL(A14,))</f>
        <v>https://octopart.com/max232d-texas+instruments-501386</v>
      </c>
      <c r="E14" s="36">
        <f>IF(A14="","",_xll.NEXAR_SUPPLY_DISTRIBUTOR_PRICE(A14,,$B$7,1,$B$6,TRUE))</f>
        <v>1.65</v>
      </c>
      <c r="F14" s="37">
        <f>IF(A14="", "", _xll.NEXAR_SUPPLY_DISTRIBUTOR_STOCK(A14,,$B$7,TRUE))</f>
        <v>4777</v>
      </c>
      <c r="G14" s="38">
        <f>IF(A14="", "", _xll.NEXAR_SUPPLY_DISTRIBUTOR_MOQ(A14))</f>
        <v>1</v>
      </c>
      <c r="H14" s="39">
        <f>IF(A14="", "", _xll.NEXAR_SUPPLY_DISTRIBUTOR_PRICE(A14,,$B$8,1,$B$6,TRUE))</f>
        <v>1.65</v>
      </c>
      <c r="I14" s="37">
        <f>IF(A14="", "", _xll.NEXAR_SUPPLY_DISTRIBUTOR_STOCK(A14,,$B$8,TRUE))</f>
        <v>2854</v>
      </c>
      <c r="J14" s="40">
        <f>IF(A14="", "", _xll.NEXAR_SUPPLY_DISTRIBUTOR_MOQ(A14))</f>
        <v>1</v>
      </c>
      <c r="K14" s="41" t="s">
        <v>19</v>
      </c>
      <c r="L14" s="42" t="s">
        <v>18</v>
      </c>
    </row>
    <row r="15" spans="1:12" ht="30" customHeight="1" x14ac:dyDescent="0.25">
      <c r="A15" s="19" t="s">
        <v>25</v>
      </c>
      <c r="B15" s="33" t="str">
        <f>IF(A15="", "", _xll.NEXAR_SUPPLY_DISTRIBUTOR_SKU(A15))</f>
        <v>406578P</v>
      </c>
      <c r="C15" s="34" t="str">
        <f>IF(A15="", "", _xll.NEXAR_SUPPLY_SHORT_DESCRIPTION(A15,))</f>
        <v>USB Full Speed to Dual Channel Serial UART/FIFO/JTAG/SPI/I2C IC - LQFP-48</v>
      </c>
      <c r="D15" s="35" t="str">
        <f>IF(A15="", "", _xll.NEXAR_SUPPLY_DETAIL_URL(A15,))</f>
        <v>https://octopart.com/ft2232d-reel-ftdi-19172120</v>
      </c>
      <c r="E15" s="36">
        <f>IF(A15="","",_xll.NEXAR_SUPPLY_DISTRIBUTOR_PRICE(A15,,$B$7,1,$B$6,TRUE))</f>
        <v>7.67</v>
      </c>
      <c r="F15" s="37">
        <f>IF(A15="", "", _xll.NEXAR_SUPPLY_DISTRIBUTOR_STOCK(A15,,$B$7,TRUE))</f>
        <v>0</v>
      </c>
      <c r="G15" s="38">
        <f>IF(A15="", "", _xll.NEXAR_SUPPLY_DISTRIBUTOR_MOQ(A15))</f>
        <v>1</v>
      </c>
      <c r="H15" s="39">
        <f>IF(A15="", "", _xll.NEXAR_SUPPLY_DISTRIBUTOR_PRICE(A15,,$B$8,1,$B$6,TRUE))</f>
        <v>7.14</v>
      </c>
      <c r="I15" s="37">
        <f>IF(A15="", "", _xll.NEXAR_SUPPLY_DISTRIBUTOR_STOCK(A15,,$B$8,TRUE))</f>
        <v>26053</v>
      </c>
      <c r="J15" s="40">
        <f>IF(A15="", "", _xll.NEXAR_SUPPLY_DISTRIBUTOR_MOQ(A15))</f>
        <v>1</v>
      </c>
      <c r="K15" s="41" t="s">
        <v>19</v>
      </c>
      <c r="L15" s="29" t="s">
        <v>19</v>
      </c>
    </row>
    <row r="16" spans="1:12" ht="30" customHeight="1" x14ac:dyDescent="0.25">
      <c r="A16" s="43" t="s">
        <v>26</v>
      </c>
      <c r="B16" s="33" t="str">
        <f>IF(A16="", "", _xll.NEXAR_SUPPLY_DISTRIBUTOR_SKU(A16))</f>
        <v>IFX007TAUMA1</v>
      </c>
      <c r="C16" s="34" t="str">
        <f>IF(A16="", "", _xll.NEXAR_SUPPLY_SHORT_DESCRIPTION(A16,))</f>
        <v>IFX007T Series 40 V 55 A SMT Half Bridge Integrated Driver - PG-TO263-7-1</v>
      </c>
      <c r="D16" s="35" t="str">
        <f>IF(A16="", "", _xll.NEXAR_SUPPLY_DETAIL_URL(A16,))</f>
        <v>https://octopart.com/ifx007tauma1-infineon-94578162</v>
      </c>
      <c r="E16" s="36">
        <f>IF(A16="","",_xll.NEXAR_SUPPLY_DISTRIBUTOR_PRICE(A16,,$B$7,1,$B$6,TRUE))</f>
        <v>4.2699999999999996</v>
      </c>
      <c r="F16" s="37">
        <f>IF(A16="", "", _xll.NEXAR_SUPPLY_DISTRIBUTOR_STOCK(A16,,$B$7,TRUE))</f>
        <v>0</v>
      </c>
      <c r="G16" s="38">
        <f>IF(A16="", "", _xll.NEXAR_SUPPLY_DISTRIBUTOR_MOQ(A16))</f>
        <v>1</v>
      </c>
      <c r="H16" s="39">
        <f>IF(A16="", "", _xll.NEXAR_SUPPLY_DISTRIBUTOR_PRICE(A16,,$B$8,1,$B$6,TRUE))</f>
        <v>4.2699999999999996</v>
      </c>
      <c r="I16" s="37">
        <f>IF(A16="", "", _xll.NEXAR_SUPPLY_DISTRIBUTOR_STOCK(A16,,$B$8,TRUE))</f>
        <v>4489</v>
      </c>
      <c r="J16" s="40">
        <f>IF(A16="", "", _xll.NEXAR_SUPPLY_DISTRIBUTOR_MOQ(A16))</f>
        <v>1</v>
      </c>
      <c r="K16" s="41" t="s">
        <v>19</v>
      </c>
      <c r="L16" s="29" t="s">
        <v>19</v>
      </c>
    </row>
    <row r="17" spans="1:12" ht="30" customHeight="1" x14ac:dyDescent="0.25">
      <c r="A17" s="43"/>
      <c r="B17" s="33" t="str">
        <f>IF(A17="", "", _xll.NEXAR_SUPPLY_DISTRIBUTOR_SKU(A17))</f>
        <v/>
      </c>
      <c r="C17" s="34" t="str">
        <f>IF(A17="", "", _xll.NEXAR_SUPPLY_SHORT_DESCRIPTION(A17,))</f>
        <v/>
      </c>
      <c r="D17" s="35" t="str">
        <f>IF(A17="", "", _xll.NEXAR_SUPPLY_DETAIL_URL(A17,))</f>
        <v/>
      </c>
      <c r="E17" s="36" t="str">
        <f>IF(A17="","",_xll.NEXAR_SUPPLY_DISTRIBUTOR_PRICE(A17,,$B$7,1,$B$6,TRUE))</f>
        <v/>
      </c>
      <c r="F17" s="37" t="str">
        <f>IF(A17="", "", _xll.NEXAR_SUPPLY_DISTRIBUTOR_STOCK(A17,,$B$7,TRUE))</f>
        <v/>
      </c>
      <c r="G17" s="38" t="str">
        <f>IF(A17="", "", _xll.NEXAR_SUPPLY_DISTRIBUTOR_MOQ(A17))</f>
        <v/>
      </c>
      <c r="H17" s="39" t="str">
        <f>IF(A17="", "", _xll.NEXAR_SUPPLY_DISTRIBUTOR_PRICE(A17,,$B$8,1,$B$6,TRUE))</f>
        <v/>
      </c>
      <c r="I17" s="37" t="str">
        <f>IF(A17="", "", _xll.NEXAR_SUPPLY_DISTRIBUTOR_STOCK(A17,,$B$8,TRUE))</f>
        <v/>
      </c>
      <c r="J17" s="40" t="str">
        <f>IF(A17="", "", _xll.NEXAR_SUPPLY_DISTRIBUTOR_MOQ(A17))</f>
        <v/>
      </c>
      <c r="K17" s="41" t="s">
        <v>19</v>
      </c>
      <c r="L17" s="29" t="s">
        <v>19</v>
      </c>
    </row>
    <row r="18" spans="1:12" ht="30" customHeight="1" x14ac:dyDescent="0.25">
      <c r="A18" s="43"/>
      <c r="B18" s="33" t="str">
        <f>IF(A18="", "", _xll.NEXAR_SUPPLY_DISTRIBUTOR_SKU(A18))</f>
        <v/>
      </c>
      <c r="C18" s="34" t="str">
        <f>IF(A18="", "", _xll.NEXAR_SUPPLY_SHORT_DESCRIPTION(A18,))</f>
        <v/>
      </c>
      <c r="D18" s="35" t="str">
        <f>IF(A18="", "", _xll.NEXAR_SUPPLY_DETAIL_URL(A18,))</f>
        <v/>
      </c>
      <c r="E18" s="36" t="str">
        <f>IF(A18="","",_xll.NEXAR_SUPPLY_DISTRIBUTOR_PRICE(A18,,$B$7,1,$B$6,TRUE))</f>
        <v/>
      </c>
      <c r="F18" s="37" t="str">
        <f>IF(A18="", "", _xll.NEXAR_SUPPLY_DISTRIBUTOR_STOCK(A18,,$B$7,TRUE))</f>
        <v/>
      </c>
      <c r="G18" s="38" t="str">
        <f>IF(A18="", "", _xll.NEXAR_SUPPLY_DISTRIBUTOR_MOQ(A18))</f>
        <v/>
      </c>
      <c r="H18" s="39" t="str">
        <f>IF(A18="", "", _xll.NEXAR_SUPPLY_DISTRIBUTOR_PRICE(A18,,$B$8,1,$B$6,TRUE))</f>
        <v/>
      </c>
      <c r="I18" s="37" t="str">
        <f>IF(A18="", "", _xll.NEXAR_SUPPLY_DISTRIBUTOR_STOCK(A18,,$B$8,TRUE))</f>
        <v/>
      </c>
      <c r="J18" s="40" t="str">
        <f>IF(A18="", "", _xll.NEXAR_SUPPLY_DISTRIBUTOR_MOQ(A18))</f>
        <v/>
      </c>
      <c r="K18" s="41" t="s">
        <v>19</v>
      </c>
      <c r="L18" s="29" t="s">
        <v>19</v>
      </c>
    </row>
    <row r="19" spans="1:12" ht="30" customHeight="1" x14ac:dyDescent="0.25">
      <c r="A19" s="43"/>
      <c r="B19" s="33" t="str">
        <f>IF(A19="", "", _xll.NEXAR_SUPPLY_DISTRIBUTOR_SKU(A19))</f>
        <v/>
      </c>
      <c r="C19" s="34" t="str">
        <f>IF(A19="", "", _xll.NEXAR_SUPPLY_SHORT_DESCRIPTION(A19,))</f>
        <v/>
      </c>
      <c r="D19" s="35" t="str">
        <f>IF(A19="", "", _xll.NEXAR_SUPPLY_DETAIL_URL(A19,))</f>
        <v/>
      </c>
      <c r="E19" s="36" t="str">
        <f>IF(A19="","",_xll.NEXAR_SUPPLY_DISTRIBUTOR_PRICE(A19,,$B$7,1,$B$6,TRUE))</f>
        <v/>
      </c>
      <c r="F19" s="37" t="str">
        <f>IF(A19="", "", _xll.NEXAR_SUPPLY_DISTRIBUTOR_STOCK(A19,,$B$7,TRUE))</f>
        <v/>
      </c>
      <c r="G19" s="38" t="str">
        <f>IF(A19="", "", _xll.NEXAR_SUPPLY_DISTRIBUTOR_MOQ(A19))</f>
        <v/>
      </c>
      <c r="H19" s="39" t="str">
        <f>IF(A19="", "", _xll.NEXAR_SUPPLY_DISTRIBUTOR_PRICE(A19,,$B$8,1,$B$6,TRUE))</f>
        <v/>
      </c>
      <c r="I19" s="37" t="str">
        <f>IF(A19="", "", _xll.NEXAR_SUPPLY_DISTRIBUTOR_STOCK(A19,,$B$8,TRUE))</f>
        <v/>
      </c>
      <c r="J19" s="40" t="str">
        <f>IF(A19="", "", _xll.NEXAR_SUPPLY_DISTRIBUTOR_MOQ(A19))</f>
        <v/>
      </c>
      <c r="K19" s="41" t="s">
        <v>19</v>
      </c>
      <c r="L19" s="29" t="s">
        <v>19</v>
      </c>
    </row>
    <row r="20" spans="1:12" ht="30" customHeight="1" x14ac:dyDescent="0.25">
      <c r="A20" s="43"/>
      <c r="B20" s="33" t="str">
        <f>IF(A20="", "", _xll.NEXAR_SUPPLY_DISTRIBUTOR_SKU(A20))</f>
        <v/>
      </c>
      <c r="C20" s="34" t="str">
        <f>IF(A20="", "", _xll.NEXAR_SUPPLY_SHORT_DESCRIPTION(A20,))</f>
        <v/>
      </c>
      <c r="D20" s="35" t="str">
        <f>IF(A20="", "", _xll.NEXAR_SUPPLY_DETAIL_URL(A20,))</f>
        <v/>
      </c>
      <c r="E20" s="36" t="str">
        <f>IF(A20="","",_xll.NEXAR_SUPPLY_DISTRIBUTOR_PRICE(A20,,$B$7,1,$B$6,TRUE))</f>
        <v/>
      </c>
      <c r="F20" s="37" t="str">
        <f>IF(A20="", "", _xll.NEXAR_SUPPLY_DISTRIBUTOR_STOCK(A20,,$B$7,TRUE))</f>
        <v/>
      </c>
      <c r="G20" s="38" t="str">
        <f>IF(A20="", "", _xll.NEXAR_SUPPLY_DISTRIBUTOR_MOQ(A20))</f>
        <v/>
      </c>
      <c r="H20" s="39" t="str">
        <f>IF(A20="", "", _xll.NEXAR_SUPPLY_DISTRIBUTOR_PRICE(A20,,$B$8,1,$B$6,TRUE))</f>
        <v/>
      </c>
      <c r="I20" s="37" t="str">
        <f>IF(A20="", "", _xll.NEXAR_SUPPLY_DISTRIBUTOR_STOCK(A20,,$B$8,TRUE))</f>
        <v/>
      </c>
      <c r="J20" s="40" t="str">
        <f>IF(A20="", "", _xll.NEXAR_SUPPLY_DISTRIBUTOR_MOQ(A20))</f>
        <v/>
      </c>
      <c r="K20" s="41" t="s">
        <v>19</v>
      </c>
      <c r="L20" s="29" t="s">
        <v>19</v>
      </c>
    </row>
    <row r="21" spans="1:12" ht="30" customHeight="1" x14ac:dyDescent="0.25">
      <c r="A21" s="43"/>
      <c r="B21" s="33" t="str">
        <f>IF(A21="", "", _xll.NEXAR_SUPPLY_DISTRIBUTOR_SKU(A21))</f>
        <v/>
      </c>
      <c r="C21" s="34" t="str">
        <f>IF(A21="", "", _xll.NEXAR_SUPPLY_SHORT_DESCRIPTION(A21,))</f>
        <v/>
      </c>
      <c r="D21" s="35" t="str">
        <f>IF(A21="", "", _xll.NEXAR_SUPPLY_DETAIL_URL(A21,))</f>
        <v/>
      </c>
      <c r="E21" s="36" t="str">
        <f>IF(A21="","",_xll.NEXAR_SUPPLY_DISTRIBUTOR_PRICE(A21,,$B$7,1,$B$6,TRUE))</f>
        <v/>
      </c>
      <c r="F21" s="37" t="str">
        <f>IF(A21="", "", _xll.NEXAR_SUPPLY_DISTRIBUTOR_STOCK(A21,,$B$7,TRUE))</f>
        <v/>
      </c>
      <c r="G21" s="38" t="str">
        <f>IF(A21="", "", _xll.NEXAR_SUPPLY_DISTRIBUTOR_MOQ(A21))</f>
        <v/>
      </c>
      <c r="H21" s="39" t="str">
        <f>IF(A21="", "", _xll.NEXAR_SUPPLY_DISTRIBUTOR_PRICE(A21,,$B$8,1,$B$6,TRUE))</f>
        <v/>
      </c>
      <c r="I21" s="37" t="str">
        <f>IF(A21="", "", _xll.NEXAR_SUPPLY_DISTRIBUTOR_STOCK(A21,,$B$8,TRUE))</f>
        <v/>
      </c>
      <c r="J21" s="40" t="str">
        <f>IF(A21="", "", _xll.NEXAR_SUPPLY_DISTRIBUTOR_MOQ(A21))</f>
        <v/>
      </c>
      <c r="K21" s="41" t="s">
        <v>19</v>
      </c>
      <c r="L21" s="29" t="s">
        <v>19</v>
      </c>
    </row>
    <row r="22" spans="1:12" ht="30" customHeight="1" x14ac:dyDescent="0.25">
      <c r="A22" s="43"/>
      <c r="B22" s="33" t="str">
        <f>IF(A22="", "", _xll.NEXAR_SUPPLY_DISTRIBUTOR_SKU(A22))</f>
        <v/>
      </c>
      <c r="C22" s="34" t="str">
        <f>IF(A22="", "", _xll.NEXAR_SUPPLY_SHORT_DESCRIPTION(A22,))</f>
        <v/>
      </c>
      <c r="D22" s="35" t="str">
        <f>IF(A22="", "", _xll.NEXAR_SUPPLY_DETAIL_URL(A22,))</f>
        <v/>
      </c>
      <c r="E22" s="36" t="str">
        <f>IF(A22="","",_xll.NEXAR_SUPPLY_DISTRIBUTOR_PRICE(A22,,$B$7,1,$B$6,TRUE))</f>
        <v/>
      </c>
      <c r="F22" s="37" t="str">
        <f>IF(A22="", "", _xll.NEXAR_SUPPLY_DISTRIBUTOR_STOCK(A22,,$B$7,TRUE))</f>
        <v/>
      </c>
      <c r="G22" s="38" t="str">
        <f>IF(A22="", "", _xll.NEXAR_SUPPLY_DISTRIBUTOR_MOQ(A22))</f>
        <v/>
      </c>
      <c r="H22" s="39" t="str">
        <f>IF(A22="", "", _xll.NEXAR_SUPPLY_DISTRIBUTOR_PRICE(A22,,$B$8,1,$B$6,TRUE))</f>
        <v/>
      </c>
      <c r="I22" s="37" t="str">
        <f>IF(A22="", "", _xll.NEXAR_SUPPLY_DISTRIBUTOR_STOCK(A22,,$B$8,TRUE))</f>
        <v/>
      </c>
      <c r="J22" s="40" t="str">
        <f>IF(A22="", "", _xll.NEXAR_SUPPLY_DISTRIBUTOR_MOQ(A22))</f>
        <v/>
      </c>
      <c r="K22" s="41" t="s">
        <v>19</v>
      </c>
      <c r="L22" s="29" t="s">
        <v>19</v>
      </c>
    </row>
    <row r="23" spans="1:12" ht="30" customHeight="1" x14ac:dyDescent="0.25">
      <c r="A23" s="43"/>
      <c r="B23" s="33" t="str">
        <f>IF(A23="", "", _xll.NEXAR_SUPPLY_DISTRIBUTOR_SKU(A23))</f>
        <v/>
      </c>
      <c r="C23" s="34" t="str">
        <f>IF(A23="", "", _xll.NEXAR_SUPPLY_SHORT_DESCRIPTION(A23,))</f>
        <v/>
      </c>
      <c r="D23" s="35" t="str">
        <f>IF(A23="", "", _xll.NEXAR_SUPPLY_DETAIL_URL(A23,))</f>
        <v/>
      </c>
      <c r="E23" s="36" t="str">
        <f>IF(A23="","",_xll.NEXAR_SUPPLY_DISTRIBUTOR_PRICE(A23,,$B$7,1,$B$6,TRUE))</f>
        <v/>
      </c>
      <c r="F23" s="37" t="str">
        <f>IF(A23="", "", _xll.NEXAR_SUPPLY_DISTRIBUTOR_STOCK(A23,,$B$7,TRUE))</f>
        <v/>
      </c>
      <c r="G23" s="38" t="str">
        <f>IF(A23="", "", _xll.NEXAR_SUPPLY_DISTRIBUTOR_MOQ(A23))</f>
        <v/>
      </c>
      <c r="H23" s="39" t="str">
        <f>IF(A23="", "", _xll.NEXAR_SUPPLY_DISTRIBUTOR_PRICE(A23,,$B$8,1,$B$6,TRUE))</f>
        <v/>
      </c>
      <c r="I23" s="37" t="str">
        <f>IF(A23="", "", _xll.NEXAR_SUPPLY_DISTRIBUTOR_STOCK(A23,,$B$8,TRUE))</f>
        <v/>
      </c>
      <c r="J23" s="40" t="str">
        <f>IF(A23="", "", _xll.NEXAR_SUPPLY_DISTRIBUTOR_MOQ(A23))</f>
        <v/>
      </c>
      <c r="K23" s="41" t="s">
        <v>19</v>
      </c>
      <c r="L23" s="29" t="s">
        <v>19</v>
      </c>
    </row>
    <row r="24" spans="1:12" ht="30" customHeight="1" x14ac:dyDescent="0.25">
      <c r="A24" s="43"/>
      <c r="B24" s="33" t="str">
        <f>IF(A24="", "", _xll.NEXAR_SUPPLY_DISTRIBUTOR_SKU(A24))</f>
        <v/>
      </c>
      <c r="C24" s="34" t="str">
        <f>IF(A24="", "", _xll.NEXAR_SUPPLY_SHORT_DESCRIPTION(A24,))</f>
        <v/>
      </c>
      <c r="D24" s="35" t="str">
        <f>IF(A24="", "", _xll.NEXAR_SUPPLY_DETAIL_URL(A24,))</f>
        <v/>
      </c>
      <c r="E24" s="36" t="str">
        <f>IF(A24="","",_xll.NEXAR_SUPPLY_DISTRIBUTOR_PRICE(A24,,$B$7,1,$B$6,TRUE))</f>
        <v/>
      </c>
      <c r="F24" s="37" t="str">
        <f>IF(A24="", "", _xll.NEXAR_SUPPLY_DISTRIBUTOR_STOCK(A24,,$B$7,TRUE))</f>
        <v/>
      </c>
      <c r="G24" s="38" t="str">
        <f>IF(A24="", "", _xll.NEXAR_SUPPLY_DISTRIBUTOR_MOQ(A24))</f>
        <v/>
      </c>
      <c r="H24" s="39" t="str">
        <f>IF(A24="", "", _xll.NEXAR_SUPPLY_DISTRIBUTOR_PRICE(A24,,$B$8,1,$B$6,TRUE))</f>
        <v/>
      </c>
      <c r="I24" s="37" t="str">
        <f>IF(A24="", "", _xll.NEXAR_SUPPLY_DISTRIBUTOR_STOCK(A24,,$B$8,TRUE))</f>
        <v/>
      </c>
      <c r="J24" s="40" t="str">
        <f>IF(A24="", "", _xll.NEXAR_SUPPLY_DISTRIBUTOR_MOQ(A24))</f>
        <v/>
      </c>
      <c r="K24" s="41" t="s">
        <v>19</v>
      </c>
      <c r="L24" s="29" t="s">
        <v>19</v>
      </c>
    </row>
    <row r="25" spans="1:12" ht="30" customHeight="1" x14ac:dyDescent="0.25">
      <c r="A25" s="43"/>
      <c r="B25" s="33" t="str">
        <f>IF(A25="", "", _xll.NEXAR_SUPPLY_DISTRIBUTOR_SKU(A25))</f>
        <v/>
      </c>
      <c r="C25" s="34" t="str">
        <f>IF(A25="", "", _xll.NEXAR_SUPPLY_SHORT_DESCRIPTION(A25,))</f>
        <v/>
      </c>
      <c r="D25" s="35" t="str">
        <f>IF(A25="", "", _xll.NEXAR_SUPPLY_DETAIL_URL(A25,))</f>
        <v/>
      </c>
      <c r="E25" s="36" t="str">
        <f>IF(A25="","",_xll.NEXAR_SUPPLY_DISTRIBUTOR_PRICE(A25,,$B$7,1,$B$6,TRUE))</f>
        <v/>
      </c>
      <c r="F25" s="37" t="str">
        <f>IF(A25="", "", _xll.NEXAR_SUPPLY_DISTRIBUTOR_STOCK(A25,,$B$7,TRUE))</f>
        <v/>
      </c>
      <c r="G25" s="38" t="str">
        <f>IF(A25="", "", _xll.NEXAR_SUPPLY_DISTRIBUTOR_MOQ(A25))</f>
        <v/>
      </c>
      <c r="H25" s="39" t="str">
        <f>IF(A25="", "", _xll.NEXAR_SUPPLY_DISTRIBUTOR_PRICE(A25,,$B$8,1,$B$6,TRUE))</f>
        <v/>
      </c>
      <c r="I25" s="37" t="str">
        <f>IF(A25="", "", _xll.NEXAR_SUPPLY_DISTRIBUTOR_STOCK(A25,,$B$8,TRUE))</f>
        <v/>
      </c>
      <c r="J25" s="40" t="str">
        <f>IF(A25="", "", _xll.NEXAR_SUPPLY_DISTRIBUTOR_MOQ(A25))</f>
        <v/>
      </c>
      <c r="K25" s="41" t="s">
        <v>19</v>
      </c>
      <c r="L25" s="29" t="s">
        <v>19</v>
      </c>
    </row>
    <row r="26" spans="1:12" ht="30" customHeight="1" x14ac:dyDescent="0.25">
      <c r="A26" s="43"/>
      <c r="B26" s="33" t="str">
        <f>IF(A26="", "", _xll.NEXAR_SUPPLY_DISTRIBUTOR_SKU(A26))</f>
        <v/>
      </c>
      <c r="C26" s="34" t="str">
        <f>IF(A26="", "", _xll.NEXAR_SUPPLY_SHORT_DESCRIPTION(A26,))</f>
        <v/>
      </c>
      <c r="D26" s="35" t="str">
        <f>IF(A26="", "", _xll.NEXAR_SUPPLY_DETAIL_URL(A26,))</f>
        <v/>
      </c>
      <c r="E26" s="36" t="str">
        <f>IF(A26="","",_xll.NEXAR_SUPPLY_DISTRIBUTOR_PRICE(A26,,$B$7,1,$B$6,TRUE))</f>
        <v/>
      </c>
      <c r="F26" s="37" t="str">
        <f>IF(A26="", "", _xll.NEXAR_SUPPLY_DISTRIBUTOR_STOCK(A26,,$B$7,TRUE))</f>
        <v/>
      </c>
      <c r="G26" s="38" t="str">
        <f>IF(A26="", "", _xll.NEXAR_SUPPLY_DISTRIBUTOR_MOQ(A26))</f>
        <v/>
      </c>
      <c r="H26" s="39" t="str">
        <f>IF(A26="", "", _xll.NEXAR_SUPPLY_DISTRIBUTOR_PRICE(A26,,$B$8,1,$B$6,TRUE))</f>
        <v/>
      </c>
      <c r="I26" s="37" t="str">
        <f>IF(A26="", "", _xll.NEXAR_SUPPLY_DISTRIBUTOR_STOCK(A26,,$B$8,TRUE))</f>
        <v/>
      </c>
      <c r="J26" s="40" t="str">
        <f>IF(A26="", "", _xll.NEXAR_SUPPLY_DISTRIBUTOR_MOQ(A26))</f>
        <v/>
      </c>
      <c r="K26" s="41" t="s">
        <v>19</v>
      </c>
      <c r="L26" s="29" t="s">
        <v>19</v>
      </c>
    </row>
    <row r="27" spans="1:12" ht="30" customHeight="1" x14ac:dyDescent="0.25">
      <c r="A27" s="43"/>
      <c r="B27" s="33" t="str">
        <f>IF(A27="", "", _xll.NEXAR_SUPPLY_DISTRIBUTOR_SKU(A27))</f>
        <v/>
      </c>
      <c r="C27" s="34" t="str">
        <f>IF(A27="", "", _xll.NEXAR_SUPPLY_SHORT_DESCRIPTION(A27,))</f>
        <v/>
      </c>
      <c r="D27" s="35" t="str">
        <f>IF(A27="", "", _xll.NEXAR_SUPPLY_DETAIL_URL(A27,))</f>
        <v/>
      </c>
      <c r="E27" s="36" t="str">
        <f>IF(A27="","",_xll.NEXAR_SUPPLY_DISTRIBUTOR_PRICE(A27,,$B$7,1,$B$6,TRUE))</f>
        <v/>
      </c>
      <c r="F27" s="37" t="str">
        <f>IF(A27="", "", _xll.NEXAR_SUPPLY_DISTRIBUTOR_STOCK(A27,,$B$7,TRUE))</f>
        <v/>
      </c>
      <c r="G27" s="38" t="str">
        <f>IF(A27="", "", _xll.NEXAR_SUPPLY_DISTRIBUTOR_MOQ(A27))</f>
        <v/>
      </c>
      <c r="H27" s="39" t="str">
        <f>IF(A27="", "", _xll.NEXAR_SUPPLY_DISTRIBUTOR_PRICE(A27,,$B$8,1,$B$6,TRUE))</f>
        <v/>
      </c>
      <c r="I27" s="37" t="str">
        <f>IF(A27="", "", _xll.NEXAR_SUPPLY_DISTRIBUTOR_STOCK(A27,,$B$8,TRUE))</f>
        <v/>
      </c>
      <c r="J27" s="40" t="str">
        <f>IF(A27="", "", _xll.NEXAR_SUPPLY_DISTRIBUTOR_MOQ(A27))</f>
        <v/>
      </c>
      <c r="K27" s="41" t="s">
        <v>19</v>
      </c>
      <c r="L27" s="29" t="s">
        <v>19</v>
      </c>
    </row>
    <row r="28" spans="1:12" ht="30" customHeight="1" x14ac:dyDescent="0.25">
      <c r="A28" s="43"/>
      <c r="B28" s="33" t="str">
        <f>IF(A28="", "", _xll.NEXAR_SUPPLY_DISTRIBUTOR_SKU(A28))</f>
        <v/>
      </c>
      <c r="C28" s="34" t="str">
        <f>IF(A28="", "", _xll.NEXAR_SUPPLY_SHORT_DESCRIPTION(A28,))</f>
        <v/>
      </c>
      <c r="D28" s="35" t="str">
        <f>IF(A28="", "", _xll.NEXAR_SUPPLY_DETAIL_URL(A28,))</f>
        <v/>
      </c>
      <c r="E28" s="36" t="str">
        <f>IF(A28="","",_xll.NEXAR_SUPPLY_DISTRIBUTOR_PRICE(A28,,$B$7,1,$B$6,TRUE))</f>
        <v/>
      </c>
      <c r="F28" s="37" t="str">
        <f>IF(A28="", "", _xll.NEXAR_SUPPLY_DISTRIBUTOR_STOCK(A28,,$B$7,TRUE))</f>
        <v/>
      </c>
      <c r="G28" s="38" t="str">
        <f>IF(A28="", "", _xll.NEXAR_SUPPLY_DISTRIBUTOR_MOQ(A28))</f>
        <v/>
      </c>
      <c r="H28" s="39" t="str">
        <f>IF(A28="", "", _xll.NEXAR_SUPPLY_DISTRIBUTOR_PRICE(A28,,$B$8,1,$B$6,TRUE))</f>
        <v/>
      </c>
      <c r="I28" s="37" t="str">
        <f>IF(A28="", "", _xll.NEXAR_SUPPLY_DISTRIBUTOR_STOCK(A28,,$B$8,TRUE))</f>
        <v/>
      </c>
      <c r="J28" s="40" t="str">
        <f>IF(A28="", "", _xll.NEXAR_SUPPLY_DISTRIBUTOR_MOQ(A28))</f>
        <v/>
      </c>
      <c r="K28" s="41" t="s">
        <v>19</v>
      </c>
      <c r="L28" s="29" t="s">
        <v>19</v>
      </c>
    </row>
    <row r="29" spans="1:12" ht="30" customHeight="1" x14ac:dyDescent="0.25">
      <c r="A29" s="43"/>
      <c r="B29" s="33" t="str">
        <f>IF(A29="", "", _xll.NEXAR_SUPPLY_DISTRIBUTOR_SKU(A29))</f>
        <v/>
      </c>
      <c r="C29" s="34" t="str">
        <f>IF(A29="", "", _xll.NEXAR_SUPPLY_SHORT_DESCRIPTION(A29,))</f>
        <v/>
      </c>
      <c r="D29" s="35" t="str">
        <f>IF(A29="", "", _xll.NEXAR_SUPPLY_DETAIL_URL(A29,))</f>
        <v/>
      </c>
      <c r="E29" s="36" t="str">
        <f>IF(A29="","",_xll.NEXAR_SUPPLY_DISTRIBUTOR_PRICE(A29,,$B$7,1,$B$6,TRUE))</f>
        <v/>
      </c>
      <c r="F29" s="37" t="str">
        <f>IF(A29="", "", _xll.NEXAR_SUPPLY_DISTRIBUTOR_STOCK(A29,,$B$7,TRUE))</f>
        <v/>
      </c>
      <c r="G29" s="38" t="str">
        <f>IF(A29="", "", _xll.NEXAR_SUPPLY_DISTRIBUTOR_MOQ(A29))</f>
        <v/>
      </c>
      <c r="H29" s="39" t="str">
        <f>IF(A29="", "", _xll.NEXAR_SUPPLY_DISTRIBUTOR_PRICE(A29,,$B$8,1,$B$6,TRUE))</f>
        <v/>
      </c>
      <c r="I29" s="37" t="str">
        <f>IF(A29="", "", _xll.NEXAR_SUPPLY_DISTRIBUTOR_STOCK(A29,,$B$8,TRUE))</f>
        <v/>
      </c>
      <c r="J29" s="40" t="str">
        <f>IF(A29="", "", _xll.NEXAR_SUPPLY_DISTRIBUTOR_MOQ(A29))</f>
        <v/>
      </c>
      <c r="K29" s="41" t="s">
        <v>19</v>
      </c>
      <c r="L29" s="29" t="s">
        <v>19</v>
      </c>
    </row>
    <row r="30" spans="1:12" ht="30" customHeight="1" x14ac:dyDescent="0.25">
      <c r="A30" s="43"/>
      <c r="B30" s="33" t="str">
        <f>IF(A30="", "", _xll.NEXAR_SUPPLY_DISTRIBUTOR_SKU(A30))</f>
        <v/>
      </c>
      <c r="C30" s="34" t="str">
        <f>IF(A30="", "", _xll.NEXAR_SUPPLY_SHORT_DESCRIPTION(A30,))</f>
        <v/>
      </c>
      <c r="D30" s="35" t="str">
        <f>IF(A30="", "", _xll.NEXAR_SUPPLY_DETAIL_URL(A30,))</f>
        <v/>
      </c>
      <c r="E30" s="36" t="str">
        <f>IF(A30="","",_xll.NEXAR_SUPPLY_DISTRIBUTOR_PRICE(A30,,$B$7,1,$B$6,TRUE))</f>
        <v/>
      </c>
      <c r="F30" s="37" t="str">
        <f>IF(A30="", "", _xll.NEXAR_SUPPLY_DISTRIBUTOR_STOCK(A30,,$B$7,TRUE))</f>
        <v/>
      </c>
      <c r="G30" s="38" t="str">
        <f>IF(A30="", "", _xll.NEXAR_SUPPLY_DISTRIBUTOR_MOQ(A30))</f>
        <v/>
      </c>
      <c r="H30" s="39" t="str">
        <f>IF(A30="", "", _xll.NEXAR_SUPPLY_DISTRIBUTOR_PRICE(A30,,$B$8,1,$B$6,TRUE))</f>
        <v/>
      </c>
      <c r="I30" s="37" t="str">
        <f>IF(A30="", "", _xll.NEXAR_SUPPLY_DISTRIBUTOR_STOCK(A30,,$B$8,TRUE))</f>
        <v/>
      </c>
      <c r="J30" s="40" t="str">
        <f>IF(A30="", "", _xll.NEXAR_SUPPLY_DISTRIBUTOR_MOQ(A30))</f>
        <v/>
      </c>
      <c r="K30" s="41" t="s">
        <v>19</v>
      </c>
      <c r="L30" s="29" t="s">
        <v>19</v>
      </c>
    </row>
    <row r="31" spans="1:12" ht="30" customHeight="1" x14ac:dyDescent="0.25">
      <c r="A31" s="43"/>
      <c r="B31" s="33" t="str">
        <f>IF(A31="", "", _xll.NEXAR_SUPPLY_DISTRIBUTOR_SKU(A31))</f>
        <v/>
      </c>
      <c r="C31" s="34" t="str">
        <f>IF(A31="", "", _xll.NEXAR_SUPPLY_SHORT_DESCRIPTION(A31,))</f>
        <v/>
      </c>
      <c r="D31" s="35" t="str">
        <f>IF(A31="", "", _xll.NEXAR_SUPPLY_DETAIL_URL(A31,))</f>
        <v/>
      </c>
      <c r="E31" s="36" t="str">
        <f>IF(A31="","",_xll.NEXAR_SUPPLY_DISTRIBUTOR_PRICE(A31,,$B$7,1,$B$6,TRUE))</f>
        <v/>
      </c>
      <c r="F31" s="37" t="str">
        <f>IF(A31="", "", _xll.NEXAR_SUPPLY_DISTRIBUTOR_STOCK(A31,,$B$7,TRUE))</f>
        <v/>
      </c>
      <c r="G31" s="38" t="str">
        <f>IF(A31="", "", _xll.NEXAR_SUPPLY_DISTRIBUTOR_MOQ(A31))</f>
        <v/>
      </c>
      <c r="H31" s="39" t="str">
        <f>IF(A31="", "", _xll.NEXAR_SUPPLY_DISTRIBUTOR_PRICE(A31,,$B$8,1,$B$6,TRUE))</f>
        <v/>
      </c>
      <c r="I31" s="37" t="str">
        <f>IF(A31="", "", _xll.NEXAR_SUPPLY_DISTRIBUTOR_STOCK(A31,,$B$8,TRUE))</f>
        <v/>
      </c>
      <c r="J31" s="40" t="str">
        <f>IF(A31="", "", _xll.NEXAR_SUPPLY_DISTRIBUTOR_MOQ(A31))</f>
        <v/>
      </c>
      <c r="K31" s="41" t="s">
        <v>19</v>
      </c>
      <c r="L31" s="29" t="s">
        <v>19</v>
      </c>
    </row>
    <row r="32" spans="1:12" ht="30" customHeight="1" x14ac:dyDescent="0.25">
      <c r="A32" s="43"/>
      <c r="B32" s="33" t="str">
        <f>IF(A32="", "", _xll.NEXAR_SUPPLY_DISTRIBUTOR_SKU(A32))</f>
        <v/>
      </c>
      <c r="C32" s="34" t="str">
        <f>IF(A32="", "", _xll.NEXAR_SUPPLY_SHORT_DESCRIPTION(A32,))</f>
        <v/>
      </c>
      <c r="D32" s="35" t="str">
        <f>IF(A32="", "", _xll.NEXAR_SUPPLY_DETAIL_URL(A32,))</f>
        <v/>
      </c>
      <c r="E32" s="36" t="str">
        <f>IF(A32="","",_xll.NEXAR_SUPPLY_DISTRIBUTOR_PRICE(A32,,$B$7,1,$B$6,TRUE))</f>
        <v/>
      </c>
      <c r="F32" s="37" t="str">
        <f>IF(A32="", "", _xll.NEXAR_SUPPLY_DISTRIBUTOR_STOCK(A32,,$B$7,TRUE))</f>
        <v/>
      </c>
      <c r="G32" s="38" t="str">
        <f>IF(A32="", "", _xll.NEXAR_SUPPLY_DISTRIBUTOR_MOQ(A32))</f>
        <v/>
      </c>
      <c r="H32" s="39" t="str">
        <f>IF(A32="", "", _xll.NEXAR_SUPPLY_DISTRIBUTOR_PRICE(A32,,$B$8,1,$B$6,TRUE))</f>
        <v/>
      </c>
      <c r="I32" s="37" t="str">
        <f>IF(A32="", "", _xll.NEXAR_SUPPLY_DISTRIBUTOR_STOCK(A32,,$B$8,TRUE))</f>
        <v/>
      </c>
      <c r="J32" s="40" t="str">
        <f>IF(A32="", "", _xll.NEXAR_SUPPLY_DISTRIBUTOR_MOQ(A32))</f>
        <v/>
      </c>
      <c r="K32" s="41" t="s">
        <v>19</v>
      </c>
      <c r="L32" s="29" t="s">
        <v>19</v>
      </c>
    </row>
    <row r="33" spans="1:12" ht="30" customHeight="1" x14ac:dyDescent="0.25">
      <c r="A33" s="43"/>
      <c r="B33" s="33" t="str">
        <f>IF(A33="", "", _xll.NEXAR_SUPPLY_DISTRIBUTOR_SKU(A33))</f>
        <v/>
      </c>
      <c r="C33" s="34" t="str">
        <f>IF(A33="", "", _xll.NEXAR_SUPPLY_SHORT_DESCRIPTION(A33,))</f>
        <v/>
      </c>
      <c r="D33" s="35" t="str">
        <f>IF(A33="", "", _xll.NEXAR_SUPPLY_DETAIL_URL(A33,))</f>
        <v/>
      </c>
      <c r="E33" s="36" t="str">
        <f>IF(A33="","",_xll.NEXAR_SUPPLY_DISTRIBUTOR_PRICE(A33,,$B$7,1,$B$6,TRUE))</f>
        <v/>
      </c>
      <c r="F33" s="37" t="str">
        <f>IF(A33="", "", _xll.NEXAR_SUPPLY_DISTRIBUTOR_STOCK(A33,,$B$7,TRUE))</f>
        <v/>
      </c>
      <c r="G33" s="38" t="str">
        <f>IF(A33="", "", _xll.NEXAR_SUPPLY_DISTRIBUTOR_MOQ(A33))</f>
        <v/>
      </c>
      <c r="H33" s="39" t="str">
        <f>IF(A33="", "", _xll.NEXAR_SUPPLY_DISTRIBUTOR_PRICE(A33,,$B$8,1,$B$6,TRUE))</f>
        <v/>
      </c>
      <c r="I33" s="37" t="str">
        <f>IF(A33="", "", _xll.NEXAR_SUPPLY_DISTRIBUTOR_STOCK(A33,,$B$8,TRUE))</f>
        <v/>
      </c>
      <c r="J33" s="40" t="str">
        <f>IF(A33="", "", _xll.NEXAR_SUPPLY_DISTRIBUTOR_MOQ(A33))</f>
        <v/>
      </c>
      <c r="K33" s="41" t="s">
        <v>19</v>
      </c>
      <c r="L33" s="29" t="s">
        <v>19</v>
      </c>
    </row>
    <row r="34" spans="1:12" ht="30" customHeight="1" x14ac:dyDescent="0.25">
      <c r="A34" s="43"/>
      <c r="B34" s="33" t="str">
        <f>IF(A34="", "", _xll.NEXAR_SUPPLY_DISTRIBUTOR_SKU(A34))</f>
        <v/>
      </c>
      <c r="C34" s="34" t="str">
        <f>IF(A34="", "", _xll.NEXAR_SUPPLY_SHORT_DESCRIPTION(A34,))</f>
        <v/>
      </c>
      <c r="D34" s="35" t="str">
        <f>IF(A34="", "", _xll.NEXAR_SUPPLY_DETAIL_URL(A34,))</f>
        <v/>
      </c>
      <c r="E34" s="36" t="str">
        <f>IF(A34="","",_xll.NEXAR_SUPPLY_DISTRIBUTOR_PRICE(A34,,$B$7,1,$B$6,TRUE))</f>
        <v/>
      </c>
      <c r="F34" s="37" t="str">
        <f>IF(A34="", "", _xll.NEXAR_SUPPLY_DISTRIBUTOR_STOCK(A34,,$B$7,TRUE))</f>
        <v/>
      </c>
      <c r="G34" s="38" t="str">
        <f>IF(A34="", "", _xll.NEXAR_SUPPLY_DISTRIBUTOR_MOQ(A34))</f>
        <v/>
      </c>
      <c r="H34" s="39" t="str">
        <f>IF(A34="", "", _xll.NEXAR_SUPPLY_DISTRIBUTOR_PRICE(A34,,$B$8,1,$B$6,TRUE))</f>
        <v/>
      </c>
      <c r="I34" s="37" t="str">
        <f>IF(A34="", "", _xll.NEXAR_SUPPLY_DISTRIBUTOR_STOCK(A34,,$B$8,TRUE))</f>
        <v/>
      </c>
      <c r="J34" s="40" t="str">
        <f>IF(A34="", "", _xll.NEXAR_SUPPLY_DISTRIBUTOR_MOQ(A34))</f>
        <v/>
      </c>
      <c r="K34" s="41" t="s">
        <v>19</v>
      </c>
      <c r="L34" s="29" t="s">
        <v>19</v>
      </c>
    </row>
    <row r="35" spans="1:12" ht="30" customHeight="1" x14ac:dyDescent="0.25">
      <c r="A35" s="43"/>
      <c r="B35" s="33" t="str">
        <f>IF(A35="", "", _xll.NEXAR_SUPPLY_DISTRIBUTOR_SKU(A35))</f>
        <v/>
      </c>
      <c r="C35" s="34" t="str">
        <f>IF(A35="", "", _xll.NEXAR_SUPPLY_SHORT_DESCRIPTION(A35,))</f>
        <v/>
      </c>
      <c r="D35" s="35" t="str">
        <f>IF(A35="", "", _xll.NEXAR_SUPPLY_DETAIL_URL(A35,))</f>
        <v/>
      </c>
      <c r="E35" s="36" t="str">
        <f>IF(A35="","",_xll.NEXAR_SUPPLY_DISTRIBUTOR_PRICE(A35,,$B$7,1,$B$6,TRUE))</f>
        <v/>
      </c>
      <c r="F35" s="37" t="str">
        <f>IF(A35="", "", _xll.NEXAR_SUPPLY_DISTRIBUTOR_STOCK(A35,,$B$7,TRUE))</f>
        <v/>
      </c>
      <c r="G35" s="38" t="str">
        <f>IF(A35="", "", _xll.NEXAR_SUPPLY_DISTRIBUTOR_MOQ(A35))</f>
        <v/>
      </c>
      <c r="H35" s="39" t="str">
        <f>IF(A35="", "", _xll.NEXAR_SUPPLY_DISTRIBUTOR_PRICE(A35,,$B$8,1,$B$6,TRUE))</f>
        <v/>
      </c>
      <c r="I35" s="37" t="str">
        <f>IF(A35="", "", _xll.NEXAR_SUPPLY_DISTRIBUTOR_STOCK(A35,,$B$8,TRUE))</f>
        <v/>
      </c>
      <c r="J35" s="40" t="str">
        <f>IF(A35="", "", _xll.NEXAR_SUPPLY_DISTRIBUTOR_MOQ(A35))</f>
        <v/>
      </c>
      <c r="K35" s="41" t="s">
        <v>19</v>
      </c>
      <c r="L35" s="29" t="s">
        <v>19</v>
      </c>
    </row>
    <row r="36" spans="1:12" ht="30" customHeight="1" x14ac:dyDescent="0.25">
      <c r="A36" s="43"/>
      <c r="B36" s="33" t="str">
        <f>IF(A36="", "", _xll.NEXAR_SUPPLY_DISTRIBUTOR_SKU(A36))</f>
        <v/>
      </c>
      <c r="C36" s="34" t="str">
        <f>IF(A36="", "", _xll.NEXAR_SUPPLY_SHORT_DESCRIPTION(A36,))</f>
        <v/>
      </c>
      <c r="D36" s="35" t="str">
        <f>IF(A36="", "", _xll.NEXAR_SUPPLY_DETAIL_URL(A36,))</f>
        <v/>
      </c>
      <c r="E36" s="36" t="str">
        <f>IF(A36="","",_xll.NEXAR_SUPPLY_DISTRIBUTOR_PRICE(A36,,$B$7,1,$B$6,TRUE))</f>
        <v/>
      </c>
      <c r="F36" s="37" t="str">
        <f>IF(A36="", "", _xll.NEXAR_SUPPLY_DISTRIBUTOR_STOCK(A36,,$B$7,TRUE))</f>
        <v/>
      </c>
      <c r="G36" s="38" t="str">
        <f>IF(A36="", "", _xll.NEXAR_SUPPLY_DISTRIBUTOR_MOQ(A36))</f>
        <v/>
      </c>
      <c r="H36" s="39" t="str">
        <f>IF(A36="", "", _xll.NEXAR_SUPPLY_DISTRIBUTOR_PRICE(A36,,$B$8,1,$B$6,TRUE))</f>
        <v/>
      </c>
      <c r="I36" s="37" t="str">
        <f>IF(A36="", "", _xll.NEXAR_SUPPLY_DISTRIBUTOR_STOCK(A36,,$B$8,TRUE))</f>
        <v/>
      </c>
      <c r="J36" s="40" t="str">
        <f>IF(A36="", "", _xll.NEXAR_SUPPLY_DISTRIBUTOR_MOQ(A36))</f>
        <v/>
      </c>
      <c r="K36" s="41" t="s">
        <v>19</v>
      </c>
      <c r="L36" s="29" t="s">
        <v>19</v>
      </c>
    </row>
    <row r="37" spans="1:12" ht="30" customHeight="1" x14ac:dyDescent="0.25">
      <c r="A37" s="43"/>
      <c r="B37" s="33" t="str">
        <f>IF(A37="", "", _xll.NEXAR_SUPPLY_DISTRIBUTOR_SKU(A37))</f>
        <v/>
      </c>
      <c r="C37" s="34" t="str">
        <f>IF(A37="", "", _xll.NEXAR_SUPPLY_SHORT_DESCRIPTION(A37,))</f>
        <v/>
      </c>
      <c r="D37" s="35" t="str">
        <f>IF(A37="", "", _xll.NEXAR_SUPPLY_DETAIL_URL(A37,))</f>
        <v/>
      </c>
      <c r="E37" s="36" t="str">
        <f>IF(A37="","",_xll.NEXAR_SUPPLY_DISTRIBUTOR_PRICE(A37,,$B$7,1,$B$6,TRUE))</f>
        <v/>
      </c>
      <c r="F37" s="37" t="str">
        <f>IF(A37="", "", _xll.NEXAR_SUPPLY_DISTRIBUTOR_STOCK(A37,,$B$7,TRUE))</f>
        <v/>
      </c>
      <c r="G37" s="38" t="str">
        <f>IF(A37="", "", _xll.NEXAR_SUPPLY_DISTRIBUTOR_MOQ(A37))</f>
        <v/>
      </c>
      <c r="H37" s="39" t="str">
        <f>IF(A37="", "", _xll.NEXAR_SUPPLY_DISTRIBUTOR_PRICE(A37,,$B$8,1,$B$6,TRUE))</f>
        <v/>
      </c>
      <c r="I37" s="37" t="str">
        <f>IF(A37="", "", _xll.NEXAR_SUPPLY_DISTRIBUTOR_STOCK(A37,,$B$8,TRUE))</f>
        <v/>
      </c>
      <c r="J37" s="40" t="str">
        <f>IF(A37="", "", _xll.NEXAR_SUPPLY_DISTRIBUTOR_MOQ(A37))</f>
        <v/>
      </c>
      <c r="K37" s="41" t="s">
        <v>19</v>
      </c>
      <c r="L37" s="29" t="s">
        <v>19</v>
      </c>
    </row>
    <row r="38" spans="1:12" ht="30" customHeight="1" x14ac:dyDescent="0.25">
      <c r="A38" s="43"/>
      <c r="B38" s="33" t="str">
        <f>IF(A38="", "", _xll.NEXAR_SUPPLY_DISTRIBUTOR_SKU(A38))</f>
        <v/>
      </c>
      <c r="C38" s="34" t="str">
        <f>IF(A38="", "", _xll.NEXAR_SUPPLY_SHORT_DESCRIPTION(A38,))</f>
        <v/>
      </c>
      <c r="D38" s="35" t="str">
        <f>IF(A38="", "", _xll.NEXAR_SUPPLY_DETAIL_URL(A38,))</f>
        <v/>
      </c>
      <c r="E38" s="36" t="str">
        <f>IF(A38="","",_xll.NEXAR_SUPPLY_DISTRIBUTOR_PRICE(A38,,$B$7,1,$B$6,TRUE))</f>
        <v/>
      </c>
      <c r="F38" s="37" t="str">
        <f>IF(A38="", "", _xll.NEXAR_SUPPLY_DISTRIBUTOR_STOCK(A38,,$B$7,TRUE))</f>
        <v/>
      </c>
      <c r="G38" s="38" t="str">
        <f>IF(A38="", "", _xll.NEXAR_SUPPLY_DISTRIBUTOR_MOQ(A38))</f>
        <v/>
      </c>
      <c r="H38" s="39" t="str">
        <f>IF(A38="", "", _xll.NEXAR_SUPPLY_DISTRIBUTOR_PRICE(A38,,$B$8,1,$B$6,TRUE))</f>
        <v/>
      </c>
      <c r="I38" s="37" t="str">
        <f>IF(A38="", "", _xll.NEXAR_SUPPLY_DISTRIBUTOR_STOCK(A38,,$B$8,TRUE))</f>
        <v/>
      </c>
      <c r="J38" s="40" t="str">
        <f>IF(A38="", "", _xll.NEXAR_SUPPLY_DISTRIBUTOR_MOQ(A38))</f>
        <v/>
      </c>
      <c r="K38" s="41" t="s">
        <v>19</v>
      </c>
      <c r="L38" s="29" t="s">
        <v>19</v>
      </c>
    </row>
    <row r="39" spans="1:12" ht="30" customHeight="1" x14ac:dyDescent="0.25">
      <c r="A39" s="43"/>
      <c r="B39" s="33" t="str">
        <f>IF(A39="", "", _xll.NEXAR_SUPPLY_DISTRIBUTOR_SKU(A39))</f>
        <v/>
      </c>
      <c r="C39" s="34" t="str">
        <f>IF(A39="", "", _xll.NEXAR_SUPPLY_SHORT_DESCRIPTION(A39,))</f>
        <v/>
      </c>
      <c r="D39" s="35" t="str">
        <f>IF(A39="", "", _xll.NEXAR_SUPPLY_DETAIL_URL(A39,))</f>
        <v/>
      </c>
      <c r="E39" s="36" t="str">
        <f>IF(A39="","",_xll.NEXAR_SUPPLY_DISTRIBUTOR_PRICE(A39,,$B$7,1,$B$6,TRUE))</f>
        <v/>
      </c>
      <c r="F39" s="37" t="str">
        <f>IF(A39="", "", _xll.NEXAR_SUPPLY_DISTRIBUTOR_STOCK(A39,,$B$7,TRUE))</f>
        <v/>
      </c>
      <c r="G39" s="38" t="str">
        <f>IF(A39="", "", _xll.NEXAR_SUPPLY_DISTRIBUTOR_MOQ(A39))</f>
        <v/>
      </c>
      <c r="H39" s="39" t="str">
        <f>IF(A39="", "", _xll.NEXAR_SUPPLY_DISTRIBUTOR_PRICE(A39,,$B$8,1,$B$6,TRUE))</f>
        <v/>
      </c>
      <c r="I39" s="37" t="str">
        <f>IF(A39="", "", _xll.NEXAR_SUPPLY_DISTRIBUTOR_STOCK(A39,,$B$8,TRUE))</f>
        <v/>
      </c>
      <c r="J39" s="40" t="str">
        <f>IF(A39="", "", _xll.NEXAR_SUPPLY_DISTRIBUTOR_MOQ(A39))</f>
        <v/>
      </c>
      <c r="K39" s="41" t="s">
        <v>19</v>
      </c>
      <c r="L39" s="29" t="s">
        <v>19</v>
      </c>
    </row>
    <row r="40" spans="1:12" ht="30" customHeight="1" x14ac:dyDescent="0.25">
      <c r="A40" s="43"/>
      <c r="B40" s="33" t="str">
        <f>IF(A40="", "", _xll.NEXAR_SUPPLY_DISTRIBUTOR_SKU(A40))</f>
        <v/>
      </c>
      <c r="C40" s="34" t="str">
        <f>IF(A40="", "", _xll.NEXAR_SUPPLY_SHORT_DESCRIPTION(A40,))</f>
        <v/>
      </c>
      <c r="D40" s="35" t="str">
        <f>IF(A40="", "", _xll.NEXAR_SUPPLY_DETAIL_URL(A40,))</f>
        <v/>
      </c>
      <c r="E40" s="36" t="str">
        <f>IF(A40="","",_xll.NEXAR_SUPPLY_DISTRIBUTOR_PRICE(A40,,$B$7,1,$B$6,TRUE))</f>
        <v/>
      </c>
      <c r="F40" s="37" t="str">
        <f>IF(A40="", "", _xll.NEXAR_SUPPLY_DISTRIBUTOR_STOCK(A40,,$B$7,TRUE))</f>
        <v/>
      </c>
      <c r="G40" s="38" t="str">
        <f>IF(A40="", "", _xll.NEXAR_SUPPLY_DISTRIBUTOR_MOQ(A40))</f>
        <v/>
      </c>
      <c r="H40" s="39" t="str">
        <f>IF(A40="", "", _xll.NEXAR_SUPPLY_DISTRIBUTOR_PRICE(A40,,$B$8,1,$B$6,TRUE))</f>
        <v/>
      </c>
      <c r="I40" s="37" t="str">
        <f>IF(A40="", "", _xll.NEXAR_SUPPLY_DISTRIBUTOR_STOCK(A40,,$B$8,TRUE))</f>
        <v/>
      </c>
      <c r="J40" s="40" t="str">
        <f>IF(A40="", "", _xll.NEXAR_SUPPLY_DISTRIBUTOR_MOQ(A40))</f>
        <v/>
      </c>
      <c r="K40" s="41" t="s">
        <v>19</v>
      </c>
      <c r="L40" s="29" t="s">
        <v>19</v>
      </c>
    </row>
    <row r="41" spans="1:12" ht="30" customHeight="1" x14ac:dyDescent="0.25">
      <c r="A41" s="43"/>
      <c r="B41" s="33" t="str">
        <f>IF(A41="", "", _xll.NEXAR_SUPPLY_DISTRIBUTOR_SKU(A41))</f>
        <v/>
      </c>
      <c r="C41" s="34" t="str">
        <f>IF(A41="", "", _xll.NEXAR_SUPPLY_SHORT_DESCRIPTION(A41,))</f>
        <v/>
      </c>
      <c r="D41" s="35" t="str">
        <f>IF(A41="", "", _xll.NEXAR_SUPPLY_DETAIL_URL(A41,))</f>
        <v/>
      </c>
      <c r="E41" s="36" t="str">
        <f>IF(A41="","",_xll.NEXAR_SUPPLY_DISTRIBUTOR_PRICE(A41,,$B$7,1,$B$6,TRUE))</f>
        <v/>
      </c>
      <c r="F41" s="37" t="str">
        <f>IF(A41="", "", _xll.NEXAR_SUPPLY_DISTRIBUTOR_STOCK(A41,,$B$7,TRUE))</f>
        <v/>
      </c>
      <c r="G41" s="38" t="str">
        <f>IF(A41="", "", _xll.NEXAR_SUPPLY_DISTRIBUTOR_MOQ(A41))</f>
        <v/>
      </c>
      <c r="H41" s="39" t="str">
        <f>IF(A41="", "", _xll.NEXAR_SUPPLY_DISTRIBUTOR_PRICE(A41,,$B$8,1,$B$6,TRUE))</f>
        <v/>
      </c>
      <c r="I41" s="37" t="str">
        <f>IF(A41="", "", _xll.NEXAR_SUPPLY_DISTRIBUTOR_STOCK(A41,,$B$8,TRUE))</f>
        <v/>
      </c>
      <c r="J41" s="40" t="str">
        <f>IF(A41="", "", _xll.NEXAR_SUPPLY_DISTRIBUTOR_MOQ(A41))</f>
        <v/>
      </c>
      <c r="K41" s="41" t="s">
        <v>19</v>
      </c>
      <c r="L41" s="29" t="s">
        <v>19</v>
      </c>
    </row>
    <row r="42" spans="1:12" ht="30" customHeight="1" x14ac:dyDescent="0.25">
      <c r="A42" s="43"/>
      <c r="B42" s="33" t="str">
        <f>IF(A42="", "", _xll.NEXAR_SUPPLY_DISTRIBUTOR_SKU(A42))</f>
        <v/>
      </c>
      <c r="C42" s="34" t="str">
        <f>IF(A42="", "", _xll.NEXAR_SUPPLY_SHORT_DESCRIPTION(A42,))</f>
        <v/>
      </c>
      <c r="D42" s="35" t="str">
        <f>IF(A42="", "", _xll.NEXAR_SUPPLY_DETAIL_URL(A42,))</f>
        <v/>
      </c>
      <c r="E42" s="36" t="str">
        <f>IF(A42="","",_xll.NEXAR_SUPPLY_DISTRIBUTOR_PRICE(A42,,$B$7,1,$B$6,TRUE))</f>
        <v/>
      </c>
      <c r="F42" s="37" t="str">
        <f>IF(A42="", "", _xll.NEXAR_SUPPLY_DISTRIBUTOR_STOCK(A42,,$B$7,TRUE))</f>
        <v/>
      </c>
      <c r="G42" s="38" t="str">
        <f>IF(A42="", "", _xll.NEXAR_SUPPLY_DISTRIBUTOR_MOQ(A42))</f>
        <v/>
      </c>
      <c r="H42" s="39" t="str">
        <f>IF(A42="", "", _xll.NEXAR_SUPPLY_DISTRIBUTOR_PRICE(A42,,$B$8,1,$B$6,TRUE))</f>
        <v/>
      </c>
      <c r="I42" s="37" t="str">
        <f>IF(A42="", "", _xll.NEXAR_SUPPLY_DISTRIBUTOR_STOCK(A42,,$B$8,TRUE))</f>
        <v/>
      </c>
      <c r="J42" s="40" t="str">
        <f>IF(A42="", "", _xll.NEXAR_SUPPLY_DISTRIBUTOR_MOQ(A42))</f>
        <v/>
      </c>
      <c r="K42" s="41" t="s">
        <v>19</v>
      </c>
      <c r="L42" s="29" t="s">
        <v>19</v>
      </c>
    </row>
    <row r="43" spans="1:12" ht="30" customHeight="1" x14ac:dyDescent="0.25">
      <c r="A43" s="43"/>
      <c r="B43" s="33" t="str">
        <f>IF(A43="", "", _xll.NEXAR_SUPPLY_DISTRIBUTOR_SKU(A43))</f>
        <v/>
      </c>
      <c r="C43" s="34" t="str">
        <f>IF(A43="", "", _xll.NEXAR_SUPPLY_SHORT_DESCRIPTION(A43,))</f>
        <v/>
      </c>
      <c r="D43" s="35" t="str">
        <f>IF(A43="", "", _xll.NEXAR_SUPPLY_DETAIL_URL(A43,))</f>
        <v/>
      </c>
      <c r="E43" s="36" t="str">
        <f>IF(A43="","",_xll.NEXAR_SUPPLY_DISTRIBUTOR_PRICE(A43,,$B$7,1,$B$6,TRUE))</f>
        <v/>
      </c>
      <c r="F43" s="37" t="str">
        <f>IF(A43="", "", _xll.NEXAR_SUPPLY_DISTRIBUTOR_STOCK(A43,,$B$7,TRUE))</f>
        <v/>
      </c>
      <c r="G43" s="38" t="str">
        <f>IF(A43="", "", _xll.NEXAR_SUPPLY_DISTRIBUTOR_MOQ(A43))</f>
        <v/>
      </c>
      <c r="H43" s="39" t="str">
        <f>IF(A43="", "", _xll.NEXAR_SUPPLY_DISTRIBUTOR_PRICE(A43,,$B$8,1,$B$6,TRUE))</f>
        <v/>
      </c>
      <c r="I43" s="37" t="str">
        <f>IF(A43="", "", _xll.NEXAR_SUPPLY_DISTRIBUTOR_STOCK(A43,,$B$8,TRUE))</f>
        <v/>
      </c>
      <c r="J43" s="40" t="str">
        <f>IF(A43="", "", _xll.NEXAR_SUPPLY_DISTRIBUTOR_MOQ(A43))</f>
        <v/>
      </c>
      <c r="K43" s="41" t="s">
        <v>19</v>
      </c>
      <c r="L43" s="29" t="s">
        <v>19</v>
      </c>
    </row>
    <row r="44" spans="1:12" ht="30" customHeight="1" x14ac:dyDescent="0.25">
      <c r="A44" s="43"/>
      <c r="B44" s="33" t="str">
        <f>IF(A44="", "", _xll.NEXAR_SUPPLY_DISTRIBUTOR_SKU(A44))</f>
        <v/>
      </c>
      <c r="C44" s="34" t="str">
        <f>IF(A44="", "", _xll.NEXAR_SUPPLY_SHORT_DESCRIPTION(A44,))</f>
        <v/>
      </c>
      <c r="D44" s="35" t="str">
        <f>IF(A44="", "", _xll.NEXAR_SUPPLY_DETAIL_URL(A44,))</f>
        <v/>
      </c>
      <c r="E44" s="36" t="str">
        <f>IF(A44="","",_xll.NEXAR_SUPPLY_DISTRIBUTOR_PRICE(A44,,$B$7,1,$B$6,TRUE))</f>
        <v/>
      </c>
      <c r="F44" s="37" t="str">
        <f>IF(A44="", "", _xll.NEXAR_SUPPLY_DISTRIBUTOR_STOCK(A44,,$B$7,TRUE))</f>
        <v/>
      </c>
      <c r="G44" s="38" t="str">
        <f>IF(A44="", "", _xll.NEXAR_SUPPLY_DISTRIBUTOR_MOQ(A44))</f>
        <v/>
      </c>
      <c r="H44" s="39" t="str">
        <f>IF(A44="", "", _xll.NEXAR_SUPPLY_DISTRIBUTOR_PRICE(A44,,$B$8,1,$B$6,TRUE))</f>
        <v/>
      </c>
      <c r="I44" s="37" t="str">
        <f>IF(A44="", "", _xll.NEXAR_SUPPLY_DISTRIBUTOR_STOCK(A44,,$B$8,TRUE))</f>
        <v/>
      </c>
      <c r="J44" s="40" t="str">
        <f>IF(A44="", "", _xll.NEXAR_SUPPLY_DISTRIBUTOR_MOQ(A44))</f>
        <v/>
      </c>
      <c r="K44" s="41" t="s">
        <v>19</v>
      </c>
      <c r="L44" s="29" t="s">
        <v>19</v>
      </c>
    </row>
    <row r="45" spans="1:12" ht="30" customHeight="1" x14ac:dyDescent="0.25">
      <c r="A45" s="43"/>
      <c r="B45" s="33" t="str">
        <f>IF(A45="", "", _xll.NEXAR_SUPPLY_DISTRIBUTOR_SKU(A45))</f>
        <v/>
      </c>
      <c r="C45" s="34" t="str">
        <f>IF(A45="", "", _xll.NEXAR_SUPPLY_SHORT_DESCRIPTION(A45,))</f>
        <v/>
      </c>
      <c r="D45" s="35" t="str">
        <f>IF(A45="", "", _xll.NEXAR_SUPPLY_DETAIL_URL(A45,))</f>
        <v/>
      </c>
      <c r="E45" s="36" t="str">
        <f>IF(A45="","",_xll.NEXAR_SUPPLY_DISTRIBUTOR_PRICE(A45,,$B$7,1,$B$6,TRUE))</f>
        <v/>
      </c>
      <c r="F45" s="37" t="str">
        <f>IF(A45="", "", _xll.NEXAR_SUPPLY_DISTRIBUTOR_STOCK(A45,,$B$7,TRUE))</f>
        <v/>
      </c>
      <c r="G45" s="38" t="str">
        <f>IF(A45="", "", _xll.NEXAR_SUPPLY_DISTRIBUTOR_MOQ(A45))</f>
        <v/>
      </c>
      <c r="H45" s="39" t="str">
        <f>IF(A45="", "", _xll.NEXAR_SUPPLY_DISTRIBUTOR_PRICE(A45,,$B$8,1,$B$6,TRUE))</f>
        <v/>
      </c>
      <c r="I45" s="37" t="str">
        <f>IF(A45="", "", _xll.NEXAR_SUPPLY_DISTRIBUTOR_STOCK(A45,,$B$8,TRUE))</f>
        <v/>
      </c>
      <c r="J45" s="40" t="str">
        <f>IF(A45="", "", _xll.NEXAR_SUPPLY_DISTRIBUTOR_MOQ(A45))</f>
        <v/>
      </c>
      <c r="K45" s="41" t="s">
        <v>19</v>
      </c>
      <c r="L45" s="29" t="s">
        <v>19</v>
      </c>
    </row>
    <row r="46" spans="1:12" ht="30" customHeight="1" x14ac:dyDescent="0.25">
      <c r="A46" s="43"/>
      <c r="B46" s="33" t="str">
        <f>IF(A46="", "", _xll.NEXAR_SUPPLY_DISTRIBUTOR_SKU(A46))</f>
        <v/>
      </c>
      <c r="C46" s="34" t="str">
        <f>IF(A46="", "", _xll.NEXAR_SUPPLY_SHORT_DESCRIPTION(A46,))</f>
        <v/>
      </c>
      <c r="D46" s="35" t="str">
        <f>IF(A46="", "", _xll.NEXAR_SUPPLY_DETAIL_URL(A46,))</f>
        <v/>
      </c>
      <c r="E46" s="36" t="str">
        <f>IF(A46="","",_xll.NEXAR_SUPPLY_DISTRIBUTOR_PRICE(A46,,$B$7,1,$B$6,TRUE))</f>
        <v/>
      </c>
      <c r="F46" s="37" t="str">
        <f>IF(A46="", "", _xll.NEXAR_SUPPLY_DISTRIBUTOR_STOCK(A46,,$B$7,TRUE))</f>
        <v/>
      </c>
      <c r="G46" s="38" t="str">
        <f>IF(A46="", "", _xll.NEXAR_SUPPLY_DISTRIBUTOR_MOQ(A46))</f>
        <v/>
      </c>
      <c r="H46" s="39" t="str">
        <f>IF(A46="", "", _xll.NEXAR_SUPPLY_DISTRIBUTOR_PRICE(A46,,$B$8,1,$B$6,TRUE))</f>
        <v/>
      </c>
      <c r="I46" s="37" t="str">
        <f>IF(A46="", "", _xll.NEXAR_SUPPLY_DISTRIBUTOR_STOCK(A46,,$B$8,TRUE))</f>
        <v/>
      </c>
      <c r="J46" s="40" t="str">
        <f>IF(A46="", "", _xll.NEXAR_SUPPLY_DISTRIBUTOR_MOQ(A46))</f>
        <v/>
      </c>
      <c r="K46" s="41" t="s">
        <v>19</v>
      </c>
      <c r="L46" s="29" t="s">
        <v>19</v>
      </c>
    </row>
    <row r="47" spans="1:12" ht="30" customHeight="1" x14ac:dyDescent="0.25">
      <c r="A47" s="43"/>
      <c r="B47" s="33" t="str">
        <f>IF(A47="", "", _xll.NEXAR_SUPPLY_DISTRIBUTOR_SKU(A47))</f>
        <v/>
      </c>
      <c r="C47" s="34" t="str">
        <f>IF(A47="", "", _xll.NEXAR_SUPPLY_SHORT_DESCRIPTION(A47,))</f>
        <v/>
      </c>
      <c r="D47" s="35" t="str">
        <f>IF(A47="", "", _xll.NEXAR_SUPPLY_DETAIL_URL(A47,))</f>
        <v/>
      </c>
      <c r="E47" s="36" t="str">
        <f>IF(A47="","",_xll.NEXAR_SUPPLY_DISTRIBUTOR_PRICE(A47,,$B$7,1,$B$6,TRUE))</f>
        <v/>
      </c>
      <c r="F47" s="37" t="str">
        <f>IF(A47="", "", _xll.NEXAR_SUPPLY_DISTRIBUTOR_STOCK(A47,,$B$7,TRUE))</f>
        <v/>
      </c>
      <c r="G47" s="38" t="str">
        <f>IF(A47="", "", _xll.NEXAR_SUPPLY_DISTRIBUTOR_MOQ(A47))</f>
        <v/>
      </c>
      <c r="H47" s="39" t="str">
        <f>IF(A47="", "", _xll.NEXAR_SUPPLY_DISTRIBUTOR_PRICE(A47,,$B$8,1,$B$6,TRUE))</f>
        <v/>
      </c>
      <c r="I47" s="37" t="str">
        <f>IF(A47="", "", _xll.NEXAR_SUPPLY_DISTRIBUTOR_STOCK(A47,,$B$8,TRUE))</f>
        <v/>
      </c>
      <c r="J47" s="40" t="str">
        <f>IF(A47="", "", _xll.NEXAR_SUPPLY_DISTRIBUTOR_MOQ(A47))</f>
        <v/>
      </c>
      <c r="K47" s="41" t="s">
        <v>19</v>
      </c>
      <c r="L47" s="29" t="s">
        <v>19</v>
      </c>
    </row>
    <row r="48" spans="1:12" ht="30" customHeight="1" x14ac:dyDescent="0.25">
      <c r="A48" s="43"/>
      <c r="B48" s="33" t="str">
        <f>IF(A48="", "", _xll.NEXAR_SUPPLY_DISTRIBUTOR_SKU(A48))</f>
        <v/>
      </c>
      <c r="C48" s="34" t="str">
        <f>IF(A48="", "", _xll.NEXAR_SUPPLY_SHORT_DESCRIPTION(A48,))</f>
        <v/>
      </c>
      <c r="D48" s="35" t="str">
        <f>IF(A48="", "", _xll.NEXAR_SUPPLY_DETAIL_URL(A48,))</f>
        <v/>
      </c>
      <c r="E48" s="36" t="str">
        <f>IF(A48="","",_xll.NEXAR_SUPPLY_DISTRIBUTOR_PRICE(A48,,$B$7,1,$B$6,TRUE))</f>
        <v/>
      </c>
      <c r="F48" s="37" t="str">
        <f>IF(A48="", "", _xll.NEXAR_SUPPLY_DISTRIBUTOR_STOCK(A48,,$B$7,TRUE))</f>
        <v/>
      </c>
      <c r="G48" s="38" t="str">
        <f>IF(A48="", "", _xll.NEXAR_SUPPLY_DISTRIBUTOR_MOQ(A48))</f>
        <v/>
      </c>
      <c r="H48" s="39" t="str">
        <f>IF(A48="", "", _xll.NEXAR_SUPPLY_DISTRIBUTOR_PRICE(A48,,$B$8,1,$B$6,TRUE))</f>
        <v/>
      </c>
      <c r="I48" s="37" t="str">
        <f>IF(A48="", "", _xll.NEXAR_SUPPLY_DISTRIBUTOR_STOCK(A48,,$B$8,TRUE))</f>
        <v/>
      </c>
      <c r="J48" s="40" t="str">
        <f>IF(A48="", "", _xll.NEXAR_SUPPLY_DISTRIBUTOR_MOQ(A48))</f>
        <v/>
      </c>
      <c r="K48" s="41" t="s">
        <v>19</v>
      </c>
      <c r="L48" s="29" t="s">
        <v>19</v>
      </c>
    </row>
    <row r="49" spans="1:12" ht="30" customHeight="1" x14ac:dyDescent="0.25">
      <c r="A49" s="43"/>
      <c r="B49" s="33" t="str">
        <f>IF(A49="", "", _xll.NEXAR_SUPPLY_DISTRIBUTOR_SKU(A49))</f>
        <v/>
      </c>
      <c r="C49" s="34" t="str">
        <f>IF(A49="", "", _xll.NEXAR_SUPPLY_SHORT_DESCRIPTION(A49,))</f>
        <v/>
      </c>
      <c r="D49" s="35" t="str">
        <f>IF(A49="", "", _xll.NEXAR_SUPPLY_DETAIL_URL(A49,))</f>
        <v/>
      </c>
      <c r="E49" s="36" t="str">
        <f>IF(A49="","",_xll.NEXAR_SUPPLY_DISTRIBUTOR_PRICE(A49,,$B$7,1,$B$6,TRUE))</f>
        <v/>
      </c>
      <c r="F49" s="37" t="str">
        <f>IF(A49="", "", _xll.NEXAR_SUPPLY_DISTRIBUTOR_STOCK(A49,,$B$7,TRUE))</f>
        <v/>
      </c>
      <c r="G49" s="38" t="str">
        <f>IF(A49="", "", _xll.NEXAR_SUPPLY_DISTRIBUTOR_MOQ(A49))</f>
        <v/>
      </c>
      <c r="H49" s="39" t="str">
        <f>IF(A49="", "", _xll.NEXAR_SUPPLY_DISTRIBUTOR_PRICE(A49,,$B$8,1,$B$6,TRUE))</f>
        <v/>
      </c>
      <c r="I49" s="37" t="str">
        <f>IF(A49="", "", _xll.NEXAR_SUPPLY_DISTRIBUTOR_STOCK(A49,,$B$8,TRUE))</f>
        <v/>
      </c>
      <c r="J49" s="40" t="str">
        <f>IF(A49="", "", _xll.NEXAR_SUPPLY_DISTRIBUTOR_MOQ(A49))</f>
        <v/>
      </c>
      <c r="K49" s="41" t="s">
        <v>19</v>
      </c>
      <c r="L49" s="29" t="s">
        <v>19</v>
      </c>
    </row>
    <row r="50" spans="1:12" ht="30" customHeight="1" x14ac:dyDescent="0.25">
      <c r="A50" s="43"/>
      <c r="B50" s="33" t="str">
        <f>IF(A50="", "", _xll.NEXAR_SUPPLY_DISTRIBUTOR_SKU(A50))</f>
        <v/>
      </c>
      <c r="C50" s="34" t="str">
        <f>IF(A50="", "", _xll.NEXAR_SUPPLY_SHORT_DESCRIPTION(A50,))</f>
        <v/>
      </c>
      <c r="D50" s="35" t="str">
        <f>IF(A50="", "", _xll.NEXAR_SUPPLY_DETAIL_URL(A50,))</f>
        <v/>
      </c>
      <c r="E50" s="36" t="str">
        <f>IF(A50="","",_xll.NEXAR_SUPPLY_DISTRIBUTOR_PRICE(A50,,$B$7,1,$B$6,TRUE))</f>
        <v/>
      </c>
      <c r="F50" s="37" t="str">
        <f>IF(A50="", "", _xll.NEXAR_SUPPLY_DISTRIBUTOR_STOCK(A50,,$B$7,TRUE))</f>
        <v/>
      </c>
      <c r="G50" s="38" t="str">
        <f>IF(A50="", "", _xll.NEXAR_SUPPLY_DISTRIBUTOR_MOQ(A50))</f>
        <v/>
      </c>
      <c r="H50" s="39" t="str">
        <f>IF(A50="", "", _xll.NEXAR_SUPPLY_DISTRIBUTOR_PRICE(A50,,$B$8,1,$B$6,TRUE))</f>
        <v/>
      </c>
      <c r="I50" s="37" t="str">
        <f>IF(A50="", "", _xll.NEXAR_SUPPLY_DISTRIBUTOR_STOCK(A50,,$B$8,TRUE))</f>
        <v/>
      </c>
      <c r="J50" s="40" t="str">
        <f>IF(A50="", "", _xll.NEXAR_SUPPLY_DISTRIBUTOR_MOQ(A50))</f>
        <v/>
      </c>
      <c r="K50" s="41" t="s">
        <v>19</v>
      </c>
      <c r="L50" s="29" t="s">
        <v>19</v>
      </c>
    </row>
    <row r="51" spans="1:12" ht="30" customHeight="1" x14ac:dyDescent="0.25">
      <c r="A51" s="43"/>
      <c r="B51" s="33" t="str">
        <f>IF(A51="", "", _xll.NEXAR_SUPPLY_DISTRIBUTOR_SKU(A51))</f>
        <v/>
      </c>
      <c r="C51" s="34" t="str">
        <f>IF(A51="", "", _xll.NEXAR_SUPPLY_SHORT_DESCRIPTION(A51,))</f>
        <v/>
      </c>
      <c r="D51" s="35" t="str">
        <f>IF(A51="", "", _xll.NEXAR_SUPPLY_DETAIL_URL(A51,))</f>
        <v/>
      </c>
      <c r="E51" s="36" t="str">
        <f>IF(A51="","",_xll.NEXAR_SUPPLY_DISTRIBUTOR_PRICE(A51,,$B$7,1,$B$6,TRUE))</f>
        <v/>
      </c>
      <c r="F51" s="37" t="str">
        <f>IF(A51="", "", _xll.NEXAR_SUPPLY_DISTRIBUTOR_STOCK(A51,,$B$7,TRUE))</f>
        <v/>
      </c>
      <c r="G51" s="38" t="str">
        <f>IF(A51="", "", _xll.NEXAR_SUPPLY_DISTRIBUTOR_MOQ(A51))</f>
        <v/>
      </c>
      <c r="H51" s="39" t="str">
        <f>IF(A51="", "", _xll.NEXAR_SUPPLY_DISTRIBUTOR_PRICE(A51,,$B$8,1,$B$6,TRUE))</f>
        <v/>
      </c>
      <c r="I51" s="37" t="str">
        <f>IF(A51="", "", _xll.NEXAR_SUPPLY_DISTRIBUTOR_STOCK(A51,,$B$8,TRUE))</f>
        <v/>
      </c>
      <c r="J51" s="40" t="str">
        <f>IF(A51="", "", _xll.NEXAR_SUPPLY_DISTRIBUTOR_MOQ(A51))</f>
        <v/>
      </c>
      <c r="K51" s="41" t="s">
        <v>19</v>
      </c>
      <c r="L51" s="29" t="s">
        <v>19</v>
      </c>
    </row>
    <row r="52" spans="1:12" ht="30" customHeight="1" x14ac:dyDescent="0.25">
      <c r="A52" s="43"/>
      <c r="B52" s="33" t="str">
        <f>IF(A52="", "", _xll.NEXAR_SUPPLY_DISTRIBUTOR_SKU(A52))</f>
        <v/>
      </c>
      <c r="C52" s="34" t="str">
        <f>IF(A52="", "", _xll.NEXAR_SUPPLY_SHORT_DESCRIPTION(A52,))</f>
        <v/>
      </c>
      <c r="D52" s="35" t="str">
        <f>IF(A52="", "", _xll.NEXAR_SUPPLY_DETAIL_URL(A52,))</f>
        <v/>
      </c>
      <c r="E52" s="36" t="str">
        <f>IF(A52="","",_xll.NEXAR_SUPPLY_DISTRIBUTOR_PRICE(A52,,$B$7,1,$B$6,TRUE))</f>
        <v/>
      </c>
      <c r="F52" s="37" t="str">
        <f>IF(A52="", "", _xll.NEXAR_SUPPLY_DISTRIBUTOR_STOCK(A52,,$B$7,TRUE))</f>
        <v/>
      </c>
      <c r="G52" s="38" t="str">
        <f>IF(A52="", "", _xll.NEXAR_SUPPLY_DISTRIBUTOR_MOQ(A52))</f>
        <v/>
      </c>
      <c r="H52" s="39" t="str">
        <f>IF(A52="", "", _xll.NEXAR_SUPPLY_DISTRIBUTOR_PRICE(A52,,$B$8,1,$B$6,TRUE))</f>
        <v/>
      </c>
      <c r="I52" s="37" t="str">
        <f>IF(A52="", "", _xll.NEXAR_SUPPLY_DISTRIBUTOR_STOCK(A52,,$B$8,TRUE))</f>
        <v/>
      </c>
      <c r="J52" s="40" t="str">
        <f>IF(A52="", "", _xll.NEXAR_SUPPLY_DISTRIBUTOR_MOQ(A52))</f>
        <v/>
      </c>
      <c r="K52" s="41" t="s">
        <v>19</v>
      </c>
      <c r="L52" s="29" t="s">
        <v>19</v>
      </c>
    </row>
    <row r="53" spans="1:12" ht="30" customHeight="1" x14ac:dyDescent="0.25">
      <c r="A53" s="43"/>
      <c r="B53" s="33" t="str">
        <f>IF(A53="", "", _xll.NEXAR_SUPPLY_DISTRIBUTOR_SKU(A53))</f>
        <v/>
      </c>
      <c r="C53" s="34" t="str">
        <f>IF(A53="", "", _xll.NEXAR_SUPPLY_SHORT_DESCRIPTION(A53,))</f>
        <v/>
      </c>
      <c r="D53" s="35" t="str">
        <f>IF(A53="", "", _xll.NEXAR_SUPPLY_DETAIL_URL(A53,))</f>
        <v/>
      </c>
      <c r="E53" s="36" t="str">
        <f>IF(A53="","",_xll.NEXAR_SUPPLY_DISTRIBUTOR_PRICE(A53,,$B$7,1,$B$6,TRUE))</f>
        <v/>
      </c>
      <c r="F53" s="37" t="str">
        <f>IF(A53="", "", _xll.NEXAR_SUPPLY_DISTRIBUTOR_STOCK(A53,,$B$7,TRUE))</f>
        <v/>
      </c>
      <c r="G53" s="38" t="str">
        <f>IF(A53="", "", _xll.NEXAR_SUPPLY_DISTRIBUTOR_MOQ(A53))</f>
        <v/>
      </c>
      <c r="H53" s="39" t="str">
        <f>IF(A53="", "", _xll.NEXAR_SUPPLY_DISTRIBUTOR_PRICE(A53,,$B$8,1,$B$6,TRUE))</f>
        <v/>
      </c>
      <c r="I53" s="37" t="str">
        <f>IF(A53="", "", _xll.NEXAR_SUPPLY_DISTRIBUTOR_STOCK(A53,,$B$8,TRUE))</f>
        <v/>
      </c>
      <c r="J53" s="40" t="str">
        <f>IF(A53="", "", _xll.NEXAR_SUPPLY_DISTRIBUTOR_MOQ(A53))</f>
        <v/>
      </c>
      <c r="K53" s="41" t="s">
        <v>19</v>
      </c>
      <c r="L53" s="29" t="s">
        <v>19</v>
      </c>
    </row>
    <row r="54" spans="1:12" ht="30" customHeight="1" x14ac:dyDescent="0.25">
      <c r="A54" s="43"/>
      <c r="B54" s="33" t="str">
        <f>IF(A54="", "", _xll.NEXAR_SUPPLY_DISTRIBUTOR_SKU(A54))</f>
        <v/>
      </c>
      <c r="C54" s="34" t="str">
        <f>IF(A54="", "", _xll.NEXAR_SUPPLY_SHORT_DESCRIPTION(A54,))</f>
        <v/>
      </c>
      <c r="D54" s="35" t="str">
        <f>IF(A54="", "", _xll.NEXAR_SUPPLY_DETAIL_URL(A54,))</f>
        <v/>
      </c>
      <c r="E54" s="36" t="str">
        <f>IF(A54="","",_xll.NEXAR_SUPPLY_DISTRIBUTOR_PRICE(A54,,$B$7,1,$B$6,TRUE))</f>
        <v/>
      </c>
      <c r="F54" s="37" t="str">
        <f>IF(A54="", "", _xll.NEXAR_SUPPLY_DISTRIBUTOR_STOCK(A54,,$B$7,TRUE))</f>
        <v/>
      </c>
      <c r="G54" s="38" t="str">
        <f>IF(A54="", "", _xll.NEXAR_SUPPLY_DISTRIBUTOR_MOQ(A54))</f>
        <v/>
      </c>
      <c r="H54" s="39" t="str">
        <f>IF(A54="", "", _xll.NEXAR_SUPPLY_DISTRIBUTOR_PRICE(A54,,$B$8,1,$B$6,TRUE))</f>
        <v/>
      </c>
      <c r="I54" s="37" t="str">
        <f>IF(A54="", "", _xll.NEXAR_SUPPLY_DISTRIBUTOR_STOCK(A54,,$B$8,TRUE))</f>
        <v/>
      </c>
      <c r="J54" s="40" t="str">
        <f>IF(A54="", "", _xll.NEXAR_SUPPLY_DISTRIBUTOR_MOQ(A54))</f>
        <v/>
      </c>
      <c r="K54" s="41" t="s">
        <v>19</v>
      </c>
      <c r="L54" s="29" t="s">
        <v>19</v>
      </c>
    </row>
    <row r="55" spans="1:12" ht="30" customHeight="1" x14ac:dyDescent="0.25">
      <c r="A55" s="43"/>
      <c r="B55" s="33" t="str">
        <f>IF(A55="", "", _xll.NEXAR_SUPPLY_DISTRIBUTOR_SKU(A55))</f>
        <v/>
      </c>
      <c r="C55" s="34" t="str">
        <f>IF(A55="", "", _xll.NEXAR_SUPPLY_SHORT_DESCRIPTION(A55,))</f>
        <v/>
      </c>
      <c r="D55" s="35" t="str">
        <f>IF(A55="", "", _xll.NEXAR_SUPPLY_DETAIL_URL(A55,))</f>
        <v/>
      </c>
      <c r="E55" s="36" t="str">
        <f>IF(A55="","",_xll.NEXAR_SUPPLY_DISTRIBUTOR_PRICE(A55,,$B$7,1,$B$6,TRUE))</f>
        <v/>
      </c>
      <c r="F55" s="37" t="str">
        <f>IF(A55="", "", _xll.NEXAR_SUPPLY_DISTRIBUTOR_STOCK(A55,,$B$7,TRUE))</f>
        <v/>
      </c>
      <c r="G55" s="38" t="str">
        <f>IF(A55="", "", _xll.NEXAR_SUPPLY_DISTRIBUTOR_MOQ(A55))</f>
        <v/>
      </c>
      <c r="H55" s="39" t="str">
        <f>IF(A55="", "", _xll.NEXAR_SUPPLY_DISTRIBUTOR_PRICE(A55,,$B$8,1,$B$6,TRUE))</f>
        <v/>
      </c>
      <c r="I55" s="37" t="str">
        <f>IF(A55="", "", _xll.NEXAR_SUPPLY_DISTRIBUTOR_STOCK(A55,,$B$8,TRUE))</f>
        <v/>
      </c>
      <c r="J55" s="40" t="str">
        <f>IF(A55="", "", _xll.NEXAR_SUPPLY_DISTRIBUTOR_MOQ(A55))</f>
        <v/>
      </c>
      <c r="K55" s="41" t="s">
        <v>19</v>
      </c>
      <c r="L55" s="29" t="s">
        <v>19</v>
      </c>
    </row>
    <row r="56" spans="1:12" ht="30" customHeight="1" x14ac:dyDescent="0.25">
      <c r="A56" s="43"/>
      <c r="B56" s="33" t="str">
        <f>IF(A56="", "", _xll.NEXAR_SUPPLY_DISTRIBUTOR_SKU(A56))</f>
        <v/>
      </c>
      <c r="C56" s="34" t="str">
        <f>IF(A56="", "", _xll.NEXAR_SUPPLY_SHORT_DESCRIPTION(A56,))</f>
        <v/>
      </c>
      <c r="D56" s="35" t="str">
        <f>IF(A56="", "", _xll.NEXAR_SUPPLY_DETAIL_URL(A56,))</f>
        <v/>
      </c>
      <c r="E56" s="36" t="str">
        <f>IF(A56="","",_xll.NEXAR_SUPPLY_DISTRIBUTOR_PRICE(A56,,$B$7,1,$B$6,TRUE))</f>
        <v/>
      </c>
      <c r="F56" s="37" t="str">
        <f>IF(A56="", "", _xll.NEXAR_SUPPLY_DISTRIBUTOR_STOCK(A56,,$B$7,TRUE))</f>
        <v/>
      </c>
      <c r="G56" s="38" t="str">
        <f>IF(A56="", "", _xll.NEXAR_SUPPLY_DISTRIBUTOR_MOQ(A56))</f>
        <v/>
      </c>
      <c r="H56" s="39" t="str">
        <f>IF(A56="", "", _xll.NEXAR_SUPPLY_DISTRIBUTOR_PRICE(A56,,$B$8,1,$B$6,TRUE))</f>
        <v/>
      </c>
      <c r="I56" s="37" t="str">
        <f>IF(A56="", "", _xll.NEXAR_SUPPLY_DISTRIBUTOR_STOCK(A56,,$B$8,TRUE))</f>
        <v/>
      </c>
      <c r="J56" s="40" t="str">
        <f>IF(A56="", "", _xll.NEXAR_SUPPLY_DISTRIBUTOR_MOQ(A56))</f>
        <v/>
      </c>
      <c r="K56" s="41" t="s">
        <v>19</v>
      </c>
      <c r="L56" s="29" t="s">
        <v>19</v>
      </c>
    </row>
    <row r="57" spans="1:12" ht="30" customHeight="1" x14ac:dyDescent="0.25">
      <c r="A57" s="43"/>
      <c r="B57" s="33" t="str">
        <f>IF(A57="", "", _xll.NEXAR_SUPPLY_DISTRIBUTOR_SKU(A57))</f>
        <v/>
      </c>
      <c r="C57" s="34" t="str">
        <f>IF(A57="", "", _xll.NEXAR_SUPPLY_SHORT_DESCRIPTION(A57,))</f>
        <v/>
      </c>
      <c r="D57" s="35" t="str">
        <f>IF(A57="", "", _xll.NEXAR_SUPPLY_DETAIL_URL(A57,))</f>
        <v/>
      </c>
      <c r="E57" s="36" t="str">
        <f>IF(A57="","",_xll.NEXAR_SUPPLY_DISTRIBUTOR_PRICE(A57,,$B$7,1,$B$6,TRUE))</f>
        <v/>
      </c>
      <c r="F57" s="37" t="str">
        <f>IF(A57="", "", _xll.NEXAR_SUPPLY_DISTRIBUTOR_STOCK(A57,,$B$7,TRUE))</f>
        <v/>
      </c>
      <c r="G57" s="38" t="str">
        <f>IF(A57="", "", _xll.NEXAR_SUPPLY_DISTRIBUTOR_MOQ(A57))</f>
        <v/>
      </c>
      <c r="H57" s="39" t="str">
        <f>IF(A57="", "", _xll.NEXAR_SUPPLY_DISTRIBUTOR_PRICE(A57,,$B$8,1,$B$6,TRUE))</f>
        <v/>
      </c>
      <c r="I57" s="37" t="str">
        <f>IF(A57="", "", _xll.NEXAR_SUPPLY_DISTRIBUTOR_STOCK(A57,,$B$8,TRUE))</f>
        <v/>
      </c>
      <c r="J57" s="40" t="str">
        <f>IF(A57="", "", _xll.NEXAR_SUPPLY_DISTRIBUTOR_MOQ(A57))</f>
        <v/>
      </c>
      <c r="K57" s="41" t="s">
        <v>19</v>
      </c>
      <c r="L57" s="29" t="s">
        <v>19</v>
      </c>
    </row>
    <row r="58" spans="1:12" ht="30" customHeight="1" x14ac:dyDescent="0.25">
      <c r="A58" s="43"/>
      <c r="B58" s="33" t="str">
        <f>IF(A58="", "", _xll.NEXAR_SUPPLY_DISTRIBUTOR_SKU(A58))</f>
        <v/>
      </c>
      <c r="C58" s="34" t="str">
        <f>IF(A58="", "", _xll.NEXAR_SUPPLY_SHORT_DESCRIPTION(A58,))</f>
        <v/>
      </c>
      <c r="D58" s="35" t="str">
        <f>IF(A58="", "", _xll.NEXAR_SUPPLY_DETAIL_URL(A58,))</f>
        <v/>
      </c>
      <c r="E58" s="36" t="str">
        <f>IF(A58="","",_xll.NEXAR_SUPPLY_DISTRIBUTOR_PRICE(A58,,$B$7,1,$B$6,TRUE))</f>
        <v/>
      </c>
      <c r="F58" s="37" t="str">
        <f>IF(A58="", "", _xll.NEXAR_SUPPLY_DISTRIBUTOR_STOCK(A58,,$B$7,TRUE))</f>
        <v/>
      </c>
      <c r="G58" s="38" t="str">
        <f>IF(A58="", "", _xll.NEXAR_SUPPLY_DISTRIBUTOR_MOQ(A58))</f>
        <v/>
      </c>
      <c r="H58" s="39" t="str">
        <f>IF(A58="", "", _xll.NEXAR_SUPPLY_DISTRIBUTOR_PRICE(A58,,$B$8,1,$B$6,TRUE))</f>
        <v/>
      </c>
      <c r="I58" s="37" t="str">
        <f>IF(A58="", "", _xll.NEXAR_SUPPLY_DISTRIBUTOR_STOCK(A58,,$B$8,TRUE))</f>
        <v/>
      </c>
      <c r="J58" s="40" t="str">
        <f>IF(A58="", "", _xll.NEXAR_SUPPLY_DISTRIBUTOR_MOQ(A58))</f>
        <v/>
      </c>
      <c r="K58" s="41" t="s">
        <v>19</v>
      </c>
      <c r="L58" s="29" t="s">
        <v>19</v>
      </c>
    </row>
    <row r="59" spans="1:12" ht="30" customHeight="1" x14ac:dyDescent="0.25">
      <c r="A59" s="43"/>
      <c r="B59" s="33" t="str">
        <f>IF(A59="", "", _xll.NEXAR_SUPPLY_DISTRIBUTOR_SKU(A59))</f>
        <v/>
      </c>
      <c r="C59" s="34" t="str">
        <f>IF(A59="", "", _xll.NEXAR_SUPPLY_SHORT_DESCRIPTION(A59,))</f>
        <v/>
      </c>
      <c r="D59" s="35" t="str">
        <f>IF(A59="", "", _xll.NEXAR_SUPPLY_DETAIL_URL(A59,))</f>
        <v/>
      </c>
      <c r="E59" s="36" t="str">
        <f>IF(A59="","",_xll.NEXAR_SUPPLY_DISTRIBUTOR_PRICE(A59,,$B$7,1,$B$6,TRUE))</f>
        <v/>
      </c>
      <c r="F59" s="37" t="str">
        <f>IF(A59="", "", _xll.NEXAR_SUPPLY_DISTRIBUTOR_STOCK(A59,,$B$7,TRUE))</f>
        <v/>
      </c>
      <c r="G59" s="38" t="str">
        <f>IF(A59="", "", _xll.NEXAR_SUPPLY_DISTRIBUTOR_MOQ(A59))</f>
        <v/>
      </c>
      <c r="H59" s="39" t="str">
        <f>IF(A59="", "", _xll.NEXAR_SUPPLY_DISTRIBUTOR_PRICE(A59,,$B$8,1,$B$6,TRUE))</f>
        <v/>
      </c>
      <c r="I59" s="37" t="str">
        <f>IF(A59="", "", _xll.NEXAR_SUPPLY_DISTRIBUTOR_STOCK(A59,,$B$8,TRUE))</f>
        <v/>
      </c>
      <c r="J59" s="40" t="str">
        <f>IF(A59="", "", _xll.NEXAR_SUPPLY_DISTRIBUTOR_MOQ(A59))</f>
        <v/>
      </c>
      <c r="K59" s="41" t="s">
        <v>19</v>
      </c>
      <c r="L59" s="29" t="s">
        <v>19</v>
      </c>
    </row>
    <row r="60" spans="1:12" ht="30" customHeight="1" x14ac:dyDescent="0.25">
      <c r="A60" s="43"/>
      <c r="B60" s="33" t="str">
        <f>IF(A60="", "", _xll.NEXAR_SUPPLY_DISTRIBUTOR_SKU(A60))</f>
        <v/>
      </c>
      <c r="C60" s="34" t="str">
        <f>IF(A60="", "", _xll.NEXAR_SUPPLY_SHORT_DESCRIPTION(A60,))</f>
        <v/>
      </c>
      <c r="D60" s="35" t="str">
        <f>IF(A60="", "", _xll.NEXAR_SUPPLY_DETAIL_URL(A60,))</f>
        <v/>
      </c>
      <c r="E60" s="36" t="str">
        <f>IF(A60="","",_xll.NEXAR_SUPPLY_DISTRIBUTOR_PRICE(A60,,$B$7,1,$B$6,TRUE))</f>
        <v/>
      </c>
      <c r="F60" s="37" t="str">
        <f>IF(A60="", "", _xll.NEXAR_SUPPLY_DISTRIBUTOR_STOCK(A60,,$B$7,TRUE))</f>
        <v/>
      </c>
      <c r="G60" s="38" t="str">
        <f>IF(A60="", "", _xll.NEXAR_SUPPLY_DISTRIBUTOR_MOQ(A60))</f>
        <v/>
      </c>
      <c r="H60" s="39" t="str">
        <f>IF(A60="", "", _xll.NEXAR_SUPPLY_DISTRIBUTOR_PRICE(A60,,$B$8,1,$B$6,TRUE))</f>
        <v/>
      </c>
      <c r="I60" s="37" t="str">
        <f>IF(A60="", "", _xll.NEXAR_SUPPLY_DISTRIBUTOR_STOCK(A60,,$B$8,TRUE))</f>
        <v/>
      </c>
      <c r="J60" s="40" t="str">
        <f>IF(A60="", "", _xll.NEXAR_SUPPLY_DISTRIBUTOR_MOQ(A60))</f>
        <v/>
      </c>
      <c r="K60" s="41" t="s">
        <v>19</v>
      </c>
      <c r="L60" s="29" t="s">
        <v>19</v>
      </c>
    </row>
    <row r="61" spans="1:12" ht="30" customHeight="1" thickBot="1" x14ac:dyDescent="0.3">
      <c r="A61" s="44"/>
      <c r="B61" s="45" t="str">
        <f>IF(A61="", "", _xll.NEXAR_SUPPLY_DISTRIBUTOR_SKU(A61))</f>
        <v/>
      </c>
      <c r="C61" s="46" t="str">
        <f>IF(A61="", "", _xll.NEXAR_SUPPLY_SHORT_DESCRIPTION(A61,))</f>
        <v/>
      </c>
      <c r="D61" s="47" t="str">
        <f>IF(A61="", "", _xll.NEXAR_SUPPLY_DETAIL_URL(A61,))</f>
        <v/>
      </c>
      <c r="E61" s="48" t="str">
        <f>IF(A61="","",_xll.NEXAR_SUPPLY_DISTRIBUTOR_PRICE(A61,,$B$7,1,$B$6,TRUE))</f>
        <v/>
      </c>
      <c r="F61" s="49" t="str">
        <f>IF(A61="", "", _xll.NEXAR_SUPPLY_DISTRIBUTOR_STOCK(A61,,$B$7,TRUE))</f>
        <v/>
      </c>
      <c r="G61" s="50" t="str">
        <f>IF(A61="", "", _xll.NEXAR_SUPPLY_DISTRIBUTOR_MOQ(A61))</f>
        <v/>
      </c>
      <c r="H61" s="51" t="str">
        <f>IF(A61="", "", _xll.NEXAR_SUPPLY_DISTRIBUTOR_PRICE(A61,,$B$8,1,$B$6,TRUE))</f>
        <v/>
      </c>
      <c r="I61" s="49" t="str">
        <f>IF(A61="", "", _xll.NEXAR_SUPPLY_DISTRIBUTOR_STOCK(A61,,$B$8,TRUE))</f>
        <v/>
      </c>
      <c r="J61" s="52" t="str">
        <f>IF(A61="", "", _xll.NEXAR_SUPPLY_DISTRIBUTOR_MOQ(A61))</f>
        <v/>
      </c>
      <c r="K61" s="53" t="s">
        <v>19</v>
      </c>
      <c r="L61" s="54" t="s">
        <v>19</v>
      </c>
    </row>
  </sheetData>
  <mergeCells count="9">
    <mergeCell ref="K10:K11"/>
    <mergeCell ref="L10:L11"/>
    <mergeCell ref="A7:A8"/>
    <mergeCell ref="E10:G10"/>
    <mergeCell ref="H10:J10"/>
    <mergeCell ref="A10:A11"/>
    <mergeCell ref="B10:B11"/>
    <mergeCell ref="C10:C11"/>
    <mergeCell ref="D10:D11"/>
  </mergeCells>
  <phoneticPr fontId="1" type="noConversion"/>
  <conditionalFormatting sqref="K12:L25">
    <cfRule type="cellIs" dxfId="11" priority="13" operator="equal">
      <formula>"No"</formula>
    </cfRule>
    <cfRule type="cellIs" dxfId="10" priority="14" operator="equal">
      <formula>"Yes"</formula>
    </cfRule>
  </conditionalFormatting>
  <conditionalFormatting sqref="F12:F61">
    <cfRule type="cellIs" dxfId="9" priority="12" operator="equal">
      <formula>0</formula>
    </cfRule>
  </conditionalFormatting>
  <conditionalFormatting sqref="I12:I61">
    <cfRule type="cellIs" dxfId="8" priority="11" operator="lessThan">
      <formula>1</formula>
    </cfRule>
  </conditionalFormatting>
  <conditionalFormatting sqref="K26:L35">
    <cfRule type="cellIs" dxfId="7" priority="9" operator="equal">
      <formula>"No"</formula>
    </cfRule>
    <cfRule type="cellIs" dxfId="6" priority="10" operator="equal">
      <formula>"Yes"</formula>
    </cfRule>
  </conditionalFormatting>
  <conditionalFormatting sqref="K36:L45">
    <cfRule type="cellIs" dxfId="5" priority="7" operator="equal">
      <formula>"No"</formula>
    </cfRule>
    <cfRule type="cellIs" dxfId="4" priority="8" operator="equal">
      <formula>"Yes"</formula>
    </cfRule>
  </conditionalFormatting>
  <conditionalFormatting sqref="K46:L55">
    <cfRule type="cellIs" dxfId="3" priority="5" operator="equal">
      <formula>"No"</formula>
    </cfRule>
    <cfRule type="cellIs" dxfId="2" priority="6" operator="equal">
      <formula>"Yes"</formula>
    </cfRule>
  </conditionalFormatting>
  <conditionalFormatting sqref="K56:L61">
    <cfRule type="cellIs" dxfId="1" priority="3" operator="equal">
      <formula>"No"</formula>
    </cfRule>
    <cfRule type="cellIs" dxfId="0" priority="4" operator="equal">
      <formula>"Yes"</formula>
    </cfRule>
  </conditionalFormatting>
  <dataValidations disablePrompts="1" count="1">
    <dataValidation type="list" allowBlank="1" showInputMessage="1" showErrorMessage="1" sqref="K12:L61" xr:uid="{1958B848-2927-4AEA-B5C0-C11CCDD43695}">
      <formula1>"Yes,No"</formula1>
    </dataValidation>
  </dataValidations>
  <hyperlinks>
    <hyperlink ref="D12" r:id="rId1" tooltip="Click for more information" display="https://octopart.com/nrf52840-ckaa-r-nordic+semiconductor-91333964" xr:uid="{A39E0946-3E62-4C33-B3B1-18070944F9FC}"/>
    <hyperlink ref="D13:D15" r:id="rId2" tooltip="Click for more information" display="https://octopart.com/nrf52840-ckaa-r-nordic+semiconductor-91333964" xr:uid="{C4AEB502-90F1-486C-84FE-2C97CB72C676}"/>
    <hyperlink ref="D16" r:id="rId3" tooltip="Click for more information" display="https://octopart.com/nrf52840-ckaa-r-nordic+semiconductor-91333964" xr:uid="{261D082E-A9E0-4C12-9B3D-4E72AB640F1D}"/>
    <hyperlink ref="D17" r:id="rId4" tooltip="Click for more information" display="https://octopart.com/nrf52840-ckaa-r-nordic+semiconductor-91333964" xr:uid="{8B80F015-F496-406D-97F4-CCC13B3B1C7E}"/>
    <hyperlink ref="D18" r:id="rId5" tooltip="Click for more information" display="https://octopart.com/nrf52840-ckaa-r-nordic+semiconductor-91333964" xr:uid="{1E3BDCF9-2689-414C-9E52-FD0C13A99CF2}"/>
    <hyperlink ref="D19" r:id="rId6" tooltip="Click for more information" display="https://octopart.com/nrf52840-ckaa-r-nordic+semiconductor-91333964" xr:uid="{406A255B-85D0-44DA-9745-3D2D400FA292}"/>
    <hyperlink ref="D20" r:id="rId7" tooltip="Click for more information" display="https://octopart.com/nrf52840-ckaa-r-nordic+semiconductor-91333964" xr:uid="{189A593C-C3FD-4C11-AD20-ABAD61544AF8}"/>
    <hyperlink ref="D21" r:id="rId8" tooltip="Click for more information" display="https://octopart.com/nrf52840-ckaa-r-nordic+semiconductor-91333964" xr:uid="{781433EB-CC5E-4155-81BD-F0B81C0B040C}"/>
    <hyperlink ref="D22" r:id="rId9" tooltip="Click for more information" display="https://octopart.com/nrf52840-ckaa-r-nordic+semiconductor-91333964" xr:uid="{6000C0FA-8BBE-4A88-9804-72D7B2A60054}"/>
    <hyperlink ref="D23" r:id="rId10" tooltip="Click for more information" display="https://octopart.com/nrf52840-ckaa-r-nordic+semiconductor-91333964" xr:uid="{C4D3AD8D-E1D1-47DD-928B-2E789D946849}"/>
    <hyperlink ref="D24" r:id="rId11" tooltip="Click for more information" display="https://octopart.com/nrf52840-ckaa-r-nordic+semiconductor-91333964" xr:uid="{E792E1B8-5259-447B-9C39-54CD88C55CE8}"/>
    <hyperlink ref="D25" r:id="rId12" tooltip="Click for more information" display="https://octopart.com/nrf52840-ckaa-r-nordic+semiconductor-91333964" xr:uid="{355AAEDA-F4BF-4A0D-A96E-B2261B535BAD}"/>
    <hyperlink ref="D26" r:id="rId13" tooltip="Click for more information" display="https://octopart.com/nrf52840-ckaa-r-nordic+semiconductor-91333964" xr:uid="{2F8304C7-0320-4A72-B11C-D075723FEA80}"/>
    <hyperlink ref="D27" r:id="rId14" tooltip="Click for more information" display="https://octopart.com/nrf52840-ckaa-r-nordic+semiconductor-91333964" xr:uid="{3A0D0DC3-4ED3-4390-928F-C27B5DB0AAA8}"/>
    <hyperlink ref="D28" r:id="rId15" tooltip="Click for more information" display="https://octopart.com/nrf52840-ckaa-r-nordic+semiconductor-91333964" xr:uid="{713FFE36-C0AE-4EE9-92A3-FD5E8CE98DA7}"/>
    <hyperlink ref="D29" r:id="rId16" tooltip="Click for more information" display="https://octopart.com/nrf52840-ckaa-r-nordic+semiconductor-91333964" xr:uid="{A31C5079-CCBD-417E-A33C-5109F7DD5596}"/>
    <hyperlink ref="D30" r:id="rId17" tooltip="Click for more information" display="https://octopart.com/nrf52840-ckaa-r-nordic+semiconductor-91333964" xr:uid="{47F13C25-0C2E-4B2B-9314-2EA7202F9509}"/>
    <hyperlink ref="D31" r:id="rId18" tooltip="Click for more information" display="https://octopart.com/nrf52840-ckaa-r-nordic+semiconductor-91333964" xr:uid="{8BD4D627-7519-4CE2-9BB7-7FE53709761A}"/>
    <hyperlink ref="D32" r:id="rId19" tooltip="Click for more information" display="https://octopart.com/nrf52840-ckaa-r-nordic+semiconductor-91333964" xr:uid="{96305890-D0CD-4963-910F-01BCBC6DDACB}"/>
    <hyperlink ref="D33" r:id="rId20" tooltip="Click for more information" display="https://octopart.com/nrf52840-ckaa-r-nordic+semiconductor-91333964" xr:uid="{434A0D02-09F1-41AC-A6C6-64015770B80F}"/>
    <hyperlink ref="D34" r:id="rId21" tooltip="Click for more information" display="https://octopart.com/nrf52840-ckaa-r-nordic+semiconductor-91333964" xr:uid="{39964EB9-1E8F-4661-89AC-9162EE2C1138}"/>
    <hyperlink ref="D35" r:id="rId22" tooltip="Click for more information" display="https://octopart.com/nrf52840-ckaa-r-nordic+semiconductor-91333964" xr:uid="{A221BBB8-8010-4DAE-A32D-FCD4770A0C30}"/>
    <hyperlink ref="D36" r:id="rId23" tooltip="Click for more information" display="https://octopart.com/nrf52840-ckaa-r-nordic+semiconductor-91333964" xr:uid="{7F0CE3C7-6037-479D-9B32-E0135AE48744}"/>
    <hyperlink ref="D37" r:id="rId24" tooltip="Click for more information" display="https://octopart.com/nrf52840-ckaa-r-nordic+semiconductor-91333964" xr:uid="{97B055C5-39E0-4DE7-8F14-0C26AF835856}"/>
    <hyperlink ref="D38" r:id="rId25" tooltip="Click for more information" display="https://octopart.com/nrf52840-ckaa-r-nordic+semiconductor-91333964" xr:uid="{168B42BE-B708-45B4-9C50-1410F05CFDDC}"/>
    <hyperlink ref="D39" r:id="rId26" tooltip="Click for more information" display="https://octopart.com/nrf52840-ckaa-r-nordic+semiconductor-91333964" xr:uid="{DDDD086A-E856-44D5-9974-9B0306836D99}"/>
    <hyperlink ref="D40" r:id="rId27" tooltip="Click for more information" display="https://octopart.com/nrf52840-ckaa-r-nordic+semiconductor-91333964" xr:uid="{1FD34EF9-0ECF-48E9-B61C-0C5D7DED49DC}"/>
    <hyperlink ref="D41" r:id="rId28" tooltip="Click for more information" display="https://octopart.com/nrf52840-ckaa-r-nordic+semiconductor-91333964" xr:uid="{15D9CFE4-BDC3-4CA8-AA2B-9E7C16EE1764}"/>
    <hyperlink ref="D42" r:id="rId29" tooltip="Click for more information" display="https://octopart.com/nrf52840-ckaa-r-nordic+semiconductor-91333964" xr:uid="{44165E3B-6DD6-42E2-8FCC-2BA1202719E8}"/>
    <hyperlink ref="D43" r:id="rId30" tooltip="Click for more information" display="https://octopart.com/nrf52840-ckaa-r-nordic+semiconductor-91333964" xr:uid="{D6576451-1B4D-4BB1-BE56-9855F7DC9F7F}"/>
    <hyperlink ref="D44" r:id="rId31" tooltip="Click for more information" display="https://octopart.com/nrf52840-ckaa-r-nordic+semiconductor-91333964" xr:uid="{84A3EE86-BA46-46F4-9E28-592DDB5C612C}"/>
    <hyperlink ref="D45" r:id="rId32" tooltip="Click for more information" display="https://octopart.com/nrf52840-ckaa-r-nordic+semiconductor-91333964" xr:uid="{5DD6BAB1-0628-4AB0-B63F-DAD253C4B25D}"/>
    <hyperlink ref="D46" r:id="rId33" tooltip="Click for more information" display="https://octopart.com/nrf52840-ckaa-r-nordic+semiconductor-91333964" xr:uid="{A0B7FDE5-B82C-4AC9-A249-E7D4C7D7D468}"/>
    <hyperlink ref="D47" r:id="rId34" tooltip="Click for more information" display="https://octopart.com/nrf52840-ckaa-r-nordic+semiconductor-91333964" xr:uid="{9588B94F-721D-46E5-8DED-B9A23E428F9A}"/>
    <hyperlink ref="D48" r:id="rId35" tooltip="Click for more information" display="https://octopart.com/nrf52840-ckaa-r-nordic+semiconductor-91333964" xr:uid="{F57E142D-4C6D-4DC5-94B8-6021F5309CBA}"/>
    <hyperlink ref="D49" r:id="rId36" tooltip="Click for more information" display="https://octopart.com/nrf52840-ckaa-r-nordic+semiconductor-91333964" xr:uid="{2B28FE43-7554-4C5E-8E25-E761E2E3E80D}"/>
    <hyperlink ref="D50" r:id="rId37" tooltip="Click for more information" display="https://octopart.com/nrf52840-ckaa-r-nordic+semiconductor-91333964" xr:uid="{974B90AB-4825-4CA9-8E37-6FEAC5EBD0FF}"/>
    <hyperlink ref="D51" r:id="rId38" tooltip="Click for more information" display="https://octopart.com/nrf52840-ckaa-r-nordic+semiconductor-91333964" xr:uid="{782A1796-9BB4-4626-AF9D-3F5F56886AF1}"/>
    <hyperlink ref="D52" r:id="rId39" tooltip="Click for more information" display="https://octopart.com/nrf52840-ckaa-r-nordic+semiconductor-91333964" xr:uid="{77B046E6-39F3-46C1-B11A-9CD3FB465E75}"/>
    <hyperlink ref="D53" r:id="rId40" tooltip="Click for more information" display="https://octopart.com/nrf52840-ckaa-r-nordic+semiconductor-91333964" xr:uid="{C4D7DEDF-196A-4040-90BA-457EC0D350E4}"/>
    <hyperlink ref="D54" r:id="rId41" tooltip="Click for more information" display="https://octopart.com/nrf52840-ckaa-r-nordic+semiconductor-91333964" xr:uid="{352132F2-A321-4727-88D1-92EB54947936}"/>
    <hyperlink ref="D55" r:id="rId42" tooltip="Click for more information" display="https://octopart.com/nrf52840-ckaa-r-nordic+semiconductor-91333964" xr:uid="{D50F4B3D-027B-4176-9A93-546D97CE16C7}"/>
    <hyperlink ref="D56" r:id="rId43" tooltip="Click for more information" display="https://octopart.com/nrf52840-ckaa-r-nordic+semiconductor-91333964" xr:uid="{8708E0DC-9980-4DCD-9C2C-ACFE5720DF1E}"/>
    <hyperlink ref="D57" r:id="rId44" tooltip="Click for more information" display="https://octopart.com/nrf52840-ckaa-r-nordic+semiconductor-91333964" xr:uid="{C28FBBBD-883A-4858-94E2-998D3C9C8FD5}"/>
    <hyperlink ref="D58" r:id="rId45" tooltip="Click for more information" display="https://octopart.com/nrf52840-ckaa-r-nordic+semiconductor-91333964" xr:uid="{4BD7B572-9359-446B-A6B8-2F314585964F}"/>
    <hyperlink ref="D59" r:id="rId46" tooltip="Click for more information" display="https://octopart.com/nrf52840-ckaa-r-nordic+semiconductor-91333964" xr:uid="{57A4D882-9043-4F88-B9AF-941B11463A60}"/>
    <hyperlink ref="D60" r:id="rId47" tooltip="Click for more information" display="https://octopart.com/nrf52840-ckaa-r-nordic+semiconductor-91333964" xr:uid="{EBDE3829-FC5E-4388-8AE8-28C14FA9A4C5}"/>
    <hyperlink ref="D61" r:id="rId48" tooltip="Click for more information" display="https://octopart.com/nrf52840-ckaa-r-nordic+semiconductor-91333964" xr:uid="{FCB36FFC-3008-4EA6-9CC8-0A79FFAD2F06}"/>
  </hyperlinks>
  <pageMargins left="0.7" right="0.7" top="0.75" bottom="0.75" header="0.3" footer="0.3"/>
  <pageSetup paperSize="9" orientation="portrait" r:id="rId49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Slot1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Barton</dc:creator>
  <cp:lastModifiedBy>Zhangshun Lu</cp:lastModifiedBy>
  <dcterms:created xsi:type="dcterms:W3CDTF">2021-02-25T12:12:45Z</dcterms:created>
  <dcterms:modified xsi:type="dcterms:W3CDTF">2023-01-04T12:31:48Z</dcterms:modified>
</cp:coreProperties>
</file>